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d_video_streaming_services" sheetId="1" r:id="rId5"/>
    <sheet state="visible" name="dashboard" sheetId="2" r:id="rId6"/>
    <sheet state="visible" name="Tabla dinámica 1" sheetId="3" r:id="rId7"/>
    <sheet state="visible" name="predicciones" sheetId="4" r:id="rId8"/>
    <sheet state="visible" name="Free_Streaming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<sst xmlns="http://schemas.openxmlformats.org/spreadsheetml/2006/main" count="1308" uniqueCount="379">
  <si>
    <t>service_name</t>
  </si>
  <si>
    <t>type</t>
  </si>
  <si>
    <t>category</t>
  </si>
  <si>
    <t>countries_available</t>
  </si>
  <si>
    <t>monthly_price_usd</t>
  </si>
  <si>
    <t>annual_price_usd</t>
  </si>
  <si>
    <t>launch_year</t>
  </si>
  <si>
    <t>subscribers_millions</t>
  </si>
  <si>
    <t>content_type</t>
  </si>
  <si>
    <t>platforms</t>
  </si>
  <si>
    <t>is_free</t>
  </si>
  <si>
    <t>parent_company</t>
  </si>
  <si>
    <t>age_group_18_24_pct</t>
  </si>
  <si>
    <t>age_group_25_34_pct</t>
  </si>
  <si>
    <t>age_group_35_44_pct</t>
  </si>
  <si>
    <t>age_group_45_54_pct</t>
  </si>
  <si>
    <t>age_group_55_64_pct</t>
  </si>
  <si>
    <t>age_group_65_plus_pct</t>
  </si>
  <si>
    <t>device_android_pct</t>
  </si>
  <si>
    <t>device_ios_pct</t>
  </si>
  <si>
    <t>device_web_pct</t>
  </si>
  <si>
    <t>device_smart_tv_pct</t>
  </si>
  <si>
    <t>device_gaming_console_pct</t>
  </si>
  <si>
    <t>device_other_pct</t>
  </si>
  <si>
    <t>engagement_cluster</t>
  </si>
  <si>
    <t>arpu_usd</t>
  </si>
  <si>
    <t>churn_rate_pct</t>
  </si>
  <si>
    <t>subscribers_2020_millions</t>
  </si>
  <si>
    <t>subscribers_2021_millions</t>
  </si>
  <si>
    <t>subscribers_2022_millions</t>
  </si>
  <si>
    <t>subscribers_2023_millions</t>
  </si>
  <si>
    <t>subscribers_2024_millions</t>
  </si>
  <si>
    <t>Suscriptores Futuros</t>
  </si>
  <si>
    <t>diferencia entre subs futuros y subs actuales</t>
  </si>
  <si>
    <t>con servicio gratis</t>
  </si>
  <si>
    <t>revenue_mensual</t>
  </si>
  <si>
    <t>Netflix</t>
  </si>
  <si>
    <t>VOD</t>
  </si>
  <si>
    <t>Paid</t>
  </si>
  <si>
    <t>Global (190+ countries)</t>
  </si>
  <si>
    <t>Movies, TV Shows, Originals</t>
  </si>
  <si>
    <t>Web, Mobile, Smart TV, Gaming Consoles</t>
  </si>
  <si>
    <t>Netflix Inc</t>
  </si>
  <si>
    <t>High Engagement</t>
  </si>
  <si>
    <t>Amazon Prime Video</t>
  </si>
  <si>
    <t>Global (200+ countries)</t>
  </si>
  <si>
    <t>Amazon</t>
  </si>
  <si>
    <t>Disney+</t>
  </si>
  <si>
    <t>Global (100+ countries)</t>
  </si>
  <si>
    <t>Movies, TV Shows, Disney Content</t>
  </si>
  <si>
    <t>The Walt Disney Company</t>
  </si>
  <si>
    <t>Max (HBO Max)</t>
  </si>
  <si>
    <t>US, Latin America, Europe, Asia</t>
  </si>
  <si>
    <t>Movies, TV Shows, HBO Originals</t>
  </si>
  <si>
    <t>Warner Bros Discovery</t>
  </si>
  <si>
    <t>iQiyi</t>
  </si>
  <si>
    <t>Regional</t>
  </si>
  <si>
    <t>China, Southeast Asia, Global</t>
  </si>
  <si>
    <t>Web, Mobile, Smart TV</t>
  </si>
  <si>
    <t>Baidu</t>
  </si>
  <si>
    <t>Zee5</t>
  </si>
  <si>
    <t>India, Global</t>
  </si>
  <si>
    <t>Zee Entertainment</t>
  </si>
  <si>
    <t>Tencent Video</t>
  </si>
  <si>
    <t>China, Global</t>
  </si>
  <si>
    <t>Tencent</t>
  </si>
  <si>
    <t>Youku</t>
  </si>
  <si>
    <t>China</t>
  </si>
  <si>
    <t>Alibaba Group</t>
  </si>
  <si>
    <t>YouTube Premium</t>
  </si>
  <si>
    <t>Music/VOD</t>
  </si>
  <si>
    <t>Music, Videos, Originals</t>
  </si>
  <si>
    <t>Google</t>
  </si>
  <si>
    <t>Medium Engagement</t>
  </si>
  <si>
    <t>Mango TV</t>
  </si>
  <si>
    <t>Chinese Drama, Movies</t>
  </si>
  <si>
    <t>Hunan Broadcasting System</t>
  </si>
  <si>
    <t>Paramount+</t>
  </si>
  <si>
    <t>US, Canada, Latin America, Europe, Australia</t>
  </si>
  <si>
    <t>Movies, TV Shows, CBS Content</t>
  </si>
  <si>
    <t>Paramount Global</t>
  </si>
  <si>
    <t>Hotstar</t>
  </si>
  <si>
    <t>India, Southeast Asia, UK, US, Canada</t>
  </si>
  <si>
    <t>Movies, TV Shows, Sports, News</t>
  </si>
  <si>
    <t>Hulu</t>
  </si>
  <si>
    <t>US, Japan</t>
  </si>
  <si>
    <t>Peacock</t>
  </si>
  <si>
    <t>US, UK, Ireland, Germany, Austria, Italy</t>
  </si>
  <si>
    <t>Movies, TV Shows, NBC Content</t>
  </si>
  <si>
    <t>NBCUniversal</t>
  </si>
  <si>
    <t>GloboPlay</t>
  </si>
  <si>
    <t>Brazil, Global</t>
  </si>
  <si>
    <t>Globo</t>
  </si>
  <si>
    <t>ESPN+</t>
  </si>
  <si>
    <t>Sports</t>
  </si>
  <si>
    <t>US</t>
  </si>
  <si>
    <t>Sports, Live Events, Documentaries</t>
  </si>
  <si>
    <t>Showtime</t>
  </si>
  <si>
    <t>Movies, Original Series, Sports</t>
  </si>
  <si>
    <t>CuriosityStream</t>
  </si>
  <si>
    <t>Specialty</t>
  </si>
  <si>
    <t>Global (180+ countries)</t>
  </si>
  <si>
    <t>Documentaries, Educational</t>
  </si>
  <si>
    <t>CuriosityStream Inc</t>
  </si>
  <si>
    <t>Apple TV+</t>
  </si>
  <si>
    <t>Apple Inc</t>
  </si>
  <si>
    <t>Discovery+</t>
  </si>
  <si>
    <t>US, UK, Europe, India</t>
  </si>
  <si>
    <t>Documentaries, Reality TV</t>
  </si>
  <si>
    <t>SonyLIV</t>
  </si>
  <si>
    <t>Movies, TV Shows, Sports</t>
  </si>
  <si>
    <t>Sony Pictures Networks</t>
  </si>
  <si>
    <t>DAZN</t>
  </si>
  <si>
    <t>Sports, Live Events</t>
  </si>
  <si>
    <t>DAZN Group</t>
  </si>
  <si>
    <t>Low Engagement</t>
  </si>
  <si>
    <t>Crunchyroll</t>
  </si>
  <si>
    <t>Anime, Manga</t>
  </si>
  <si>
    <t>Sony Pictures Entertainment</t>
  </si>
  <si>
    <t>Starz</t>
  </si>
  <si>
    <t>US, Canada, UK</t>
  </si>
  <si>
    <t>Movies, Original Series</t>
  </si>
  <si>
    <t>Lionsgate</t>
  </si>
  <si>
    <t>IQIYI (International)</t>
  </si>
  <si>
    <t>Southeast Asia, Global</t>
  </si>
  <si>
    <t>Asian Drama, Movies</t>
  </si>
  <si>
    <t>WeTV</t>
  </si>
  <si>
    <t>Mubi</t>
  </si>
  <si>
    <t>Art House Films, Classics</t>
  </si>
  <si>
    <t>AMC+</t>
  </si>
  <si>
    <t>US, Canada</t>
  </si>
  <si>
    <t>AMC Originals, Movies</t>
  </si>
  <si>
    <t>AMC Networks</t>
  </si>
  <si>
    <t>Canal+</t>
  </si>
  <si>
    <t>France, Africa, Poland</t>
  </si>
  <si>
    <t>Movies, TV Shows, Sports, Live TV</t>
  </si>
  <si>
    <t>Vivendi</t>
  </si>
  <si>
    <t>YouTube TV</t>
  </si>
  <si>
    <t>Live TV</t>
  </si>
  <si>
    <t>Live TV Channels, Cloud DVR</t>
  </si>
  <si>
    <t>Viaplay</t>
  </si>
  <si>
    <t>Nordic, Baltic, Poland, Netherlands, UK, US</t>
  </si>
  <si>
    <t>NENT Group</t>
  </si>
  <si>
    <t>NFL+</t>
  </si>
  <si>
    <t>NFL Games, Highlights</t>
  </si>
  <si>
    <t>National Football League</t>
  </si>
  <si>
    <t>Starzplay</t>
  </si>
  <si>
    <t>Middle East, North Africa, Europe</t>
  </si>
  <si>
    <t>beIN Sports Connect</t>
  </si>
  <si>
    <t>Middle East, North Africa, Europe, Asia</t>
  </si>
  <si>
    <t>beIN Media Group</t>
  </si>
  <si>
    <t>Wavve</t>
  </si>
  <si>
    <t>South Korea</t>
  </si>
  <si>
    <t>Korean Drama, Movies</t>
  </si>
  <si>
    <t>SK Telecom</t>
  </si>
  <si>
    <t>ALTBalaji</t>
  </si>
  <si>
    <t>Indian Originals</t>
  </si>
  <si>
    <t>Balaji Telefilms</t>
  </si>
  <si>
    <t>Hulu + Live TV</t>
  </si>
  <si>
    <t>Live TV Channels, On-Demand</t>
  </si>
  <si>
    <t>Discovery+ (UK)</t>
  </si>
  <si>
    <t>UK, Ireland</t>
  </si>
  <si>
    <t>Sun NXT</t>
  </si>
  <si>
    <t>Tamil, Telugu, Malayalam Content</t>
  </si>
  <si>
    <t>Sun TV Network</t>
  </si>
  <si>
    <t>Crave</t>
  </si>
  <si>
    <t>Canada</t>
  </si>
  <si>
    <t>Movies, TV Shows, HBO Content</t>
  </si>
  <si>
    <t>Bell Media</t>
  </si>
  <si>
    <t>NBA League Pass</t>
  </si>
  <si>
    <t>NBA Games, Highlights</t>
  </si>
  <si>
    <t>National Basketball Association</t>
  </si>
  <si>
    <t>Crave + HBO</t>
  </si>
  <si>
    <t>Movies, TV Shows, HBO Max Content</t>
  </si>
  <si>
    <t>MLB.TV</t>
  </si>
  <si>
    <t>MLB Games, Highlights</t>
  </si>
  <si>
    <t>Major League Baseball</t>
  </si>
  <si>
    <t>Watcha</t>
  </si>
  <si>
    <t>Stan</t>
  </si>
  <si>
    <t>Australia</t>
  </si>
  <si>
    <t>Nine Entertainment</t>
  </si>
  <si>
    <t>U-NEXT</t>
  </si>
  <si>
    <t>Japan</t>
  </si>
  <si>
    <t>Japanese Drama, Movies, Manga</t>
  </si>
  <si>
    <t>Hayu</t>
  </si>
  <si>
    <t>UK, Ireland, Australia, Canada, US</t>
  </si>
  <si>
    <t>Reality TV Shows</t>
  </si>
  <si>
    <t>BritBox</t>
  </si>
  <si>
    <t>US, UK, Canada, Australia</t>
  </si>
  <si>
    <t>British TV Shows, Movies</t>
  </si>
  <si>
    <t>BBC and ITV</t>
  </si>
  <si>
    <t>Aha</t>
  </si>
  <si>
    <t>India</t>
  </si>
  <si>
    <t>Telugu, Tamil Content</t>
  </si>
  <si>
    <t>Arha Media</t>
  </si>
  <si>
    <t>Eros Now</t>
  </si>
  <si>
    <t>Indian Movies, Originals</t>
  </si>
  <si>
    <t>Eros International</t>
  </si>
  <si>
    <t>FuboTV</t>
  </si>
  <si>
    <t>US, Canada, Spain</t>
  </si>
  <si>
    <t>Sports, Live TV, Movies</t>
  </si>
  <si>
    <t>FuboTV Inc</t>
  </si>
  <si>
    <t>Sling TV</t>
  </si>
  <si>
    <t>Live TV Channels</t>
  </si>
  <si>
    <t>Dish Network</t>
  </si>
  <si>
    <t>Showmax</t>
  </si>
  <si>
    <t>Africa, Europe</t>
  </si>
  <si>
    <t>MultiChoice</t>
  </si>
  <si>
    <t>Acorn TV</t>
  </si>
  <si>
    <t>British, International TV</t>
  </si>
  <si>
    <t>NOW TV</t>
  </si>
  <si>
    <t>Sky Group</t>
  </si>
  <si>
    <t>Funimation</t>
  </si>
  <si>
    <t>US, Canada, UK, Ireland, Australia, New Zealand</t>
  </si>
  <si>
    <t>DirecTV Stream</t>
  </si>
  <si>
    <t>AT&amp;T</t>
  </si>
  <si>
    <t>Binge</t>
  </si>
  <si>
    <t>Foxtel</t>
  </si>
  <si>
    <t>Shudder</t>
  </si>
  <si>
    <t>Horror Movies, TV Shows</t>
  </si>
  <si>
    <t>Philo</t>
  </si>
  <si>
    <t>Philo Inc</t>
  </si>
  <si>
    <t>Club Illico</t>
  </si>
  <si>
    <t>French-Canadian Content</t>
  </si>
  <si>
    <t>Videotron</t>
  </si>
  <si>
    <t>Criterion Channel</t>
  </si>
  <si>
    <t>Classic Films, Criterion Collection</t>
  </si>
  <si>
    <t>The Criterion Collection</t>
  </si>
  <si>
    <t>VRV</t>
  </si>
  <si>
    <t>Anime, Gaming Content</t>
  </si>
  <si>
    <t>Ellation</t>
  </si>
  <si>
    <t>MUBI Go</t>
  </si>
  <si>
    <t>Art House Cinema Tickets + Streaming</t>
  </si>
  <si>
    <t>History Vault</t>
  </si>
  <si>
    <t>Historical Documentaries</t>
  </si>
  <si>
    <t>A+E Networks</t>
  </si>
  <si>
    <t>Frndly TV</t>
  </si>
  <si>
    <t>Family-Friendly Live TV</t>
  </si>
  <si>
    <t>AnimeLab</t>
  </si>
  <si>
    <t>Australia, New Zealand</t>
  </si>
  <si>
    <t>Madman Entertainment</t>
  </si>
  <si>
    <t>Arrow Video Channel</t>
  </si>
  <si>
    <t>US, UK, Canada</t>
  </si>
  <si>
    <t>Cult Films, Horror</t>
  </si>
  <si>
    <t>Arrow Films</t>
  </si>
  <si>
    <t>Anime Strike</t>
  </si>
  <si>
    <t>Vidgo</t>
  </si>
  <si>
    <t>Vidgo LLC</t>
  </si>
  <si>
    <t>HiDive</t>
  </si>
  <si>
    <t>Sentai Filmworks</t>
  </si>
  <si>
    <t>Wakanim</t>
  </si>
  <si>
    <t>France, Germany, Russia, Scandinavia</t>
  </si>
  <si>
    <t>Aniplex</t>
  </si>
  <si>
    <t>Anime Digital Network</t>
  </si>
  <si>
    <t>France, Belgium, Switzerland</t>
  </si>
  <si>
    <t>Citizen TV</t>
  </si>
  <si>
    <t>Anime on Demand</t>
  </si>
  <si>
    <t>Germany, Austria, Switzerland</t>
  </si>
  <si>
    <t>Peppermint Anime</t>
  </si>
  <si>
    <t>Voot Select</t>
  </si>
  <si>
    <t>Viacom18</t>
  </si>
  <si>
    <t>PBS Passport</t>
  </si>
  <si>
    <t>PBS Documentaries, Shows</t>
  </si>
  <si>
    <t>Public Broadcasting Service</t>
  </si>
  <si>
    <t>Cineplex Store</t>
  </si>
  <si>
    <t>Movie Rentals, Purchases</t>
  </si>
  <si>
    <t>Cineplex</t>
  </si>
  <si>
    <t>Sky Go</t>
  </si>
  <si>
    <t>UK, Ireland, Germany, Italy, Austria</t>
  </si>
  <si>
    <t>Live TV, On-Demand</t>
  </si>
  <si>
    <t>total de ingresos mensuales del mercado</t>
  </si>
  <si>
    <t>Churn Promedio</t>
  </si>
  <si>
    <t>el total de suscriptores (en millones).</t>
  </si>
  <si>
    <t>"Ingreso Mensual Proyectado (Mercado)"</t>
  </si>
  <si>
    <t>Oportunidad de Crecimiento del Mercado"</t>
  </si>
  <si>
    <t>% de Smart TV</t>
  </si>
  <si>
    <t>SUM de monthly_price_usd</t>
  </si>
  <si>
    <t>Suma total</t>
  </si>
  <si>
    <t>current_subscribers</t>
  </si>
  <si>
    <t>predicted_subscribers</t>
  </si>
  <si>
    <t>growth_rate</t>
  </si>
  <si>
    <t>projected_growth</t>
  </si>
  <si>
    <t>predicted_arpu</t>
  </si>
  <si>
    <t>predicted_monthly_revenue</t>
  </si>
  <si>
    <t>MX Player</t>
  </si>
  <si>
    <t>Free/Paid</t>
  </si>
  <si>
    <t>Movies, TV Shows, Music</t>
  </si>
  <si>
    <t>Times Internet</t>
  </si>
  <si>
    <t>Bilibili</t>
  </si>
  <si>
    <t>Anime, User Content, Gaming</t>
  </si>
  <si>
    <t>The Roku Channel</t>
  </si>
  <si>
    <t>Free Streaming</t>
  </si>
  <si>
    <t>Free</t>
  </si>
  <si>
    <t>Movies, TV Shows, Live TV</t>
  </si>
  <si>
    <t>Web, Mobile, Smart TV, Roku</t>
  </si>
  <si>
    <t>Roku</t>
  </si>
  <si>
    <t>Pluto TV</t>
  </si>
  <si>
    <t>US, UK, Canada, Latin America, Europe</t>
  </si>
  <si>
    <t>Tubi</t>
  </si>
  <si>
    <t>US, Canada, UK, Australia, Mexico</t>
  </si>
  <si>
    <t>Movies, TV Shows</t>
  </si>
  <si>
    <t>Fox Corporation</t>
  </si>
  <si>
    <t>Viu</t>
  </si>
  <si>
    <t>Southeast Asia, Middle East, Africa</t>
  </si>
  <si>
    <t>PCCW</t>
  </si>
  <si>
    <t>Rakuten Viki</t>
  </si>
  <si>
    <t>Rakuten</t>
  </si>
  <si>
    <t>Vidio</t>
  </si>
  <si>
    <t>Indonesia</t>
  </si>
  <si>
    <t>Indonesian Content, Sports</t>
  </si>
  <si>
    <t>Emtek</t>
  </si>
  <si>
    <t>iflix</t>
  </si>
  <si>
    <t>PLDT</t>
  </si>
  <si>
    <t>Xumo</t>
  </si>
  <si>
    <t>Comcast</t>
  </si>
  <si>
    <t>Crackle</t>
  </si>
  <si>
    <t>US, Canada, Australia</t>
  </si>
  <si>
    <t>Sony Pictures</t>
  </si>
  <si>
    <t>TrueID</t>
  </si>
  <si>
    <t>Thailand</t>
  </si>
  <si>
    <t>Thai Drama, Movies, Sports</t>
  </si>
  <si>
    <t>True Corporation</t>
  </si>
  <si>
    <t>Vudu</t>
  </si>
  <si>
    <t>Fandango Media</t>
  </si>
  <si>
    <t>All 4</t>
  </si>
  <si>
    <t>UK</t>
  </si>
  <si>
    <t>TV Shows, Documentaries</t>
  </si>
  <si>
    <t>Channel 4</t>
  </si>
  <si>
    <t>Plex</t>
  </si>
  <si>
    <t>Movies, TV Shows, Personal Media</t>
  </si>
  <si>
    <t>Plex Inc</t>
  </si>
  <si>
    <t>Freevee (IMDb TV)</t>
  </si>
  <si>
    <t>US, UK, Germany</t>
  </si>
  <si>
    <t>Rakuten TV</t>
  </si>
  <si>
    <t>Europe, UK, US</t>
  </si>
  <si>
    <t>BBC iPlayer</t>
  </si>
  <si>
    <t>TV Shows, Documentaries, News</t>
  </si>
  <si>
    <t>BBC</t>
  </si>
  <si>
    <t>ITV Hub</t>
  </si>
  <si>
    <t>TV Shows, Live TV</t>
  </si>
  <si>
    <t>ITV</t>
  </si>
  <si>
    <t>TVer</t>
  </si>
  <si>
    <t>Japanese TV Shows</t>
  </si>
  <si>
    <t>Japan Commercial Broadcasters Association</t>
  </si>
  <si>
    <t>AbemaTV</t>
  </si>
  <si>
    <t>Japanese TV, Anime, Sports</t>
  </si>
  <si>
    <t>CyberAgent</t>
  </si>
  <si>
    <t>JioCinema</t>
  </si>
  <si>
    <t>Reliance Industries</t>
  </si>
  <si>
    <t>Voot</t>
  </si>
  <si>
    <t>Spuul</t>
  </si>
  <si>
    <t>Indian Movies, TV Shows</t>
  </si>
  <si>
    <t>Kanopy</t>
  </si>
  <si>
    <t>US, Canada, Australia, New Zealand</t>
  </si>
  <si>
    <t>Movies, Documentaries, Educational</t>
  </si>
  <si>
    <t>OverDrive</t>
  </si>
  <si>
    <t>Hoopla</t>
  </si>
  <si>
    <t>Movies, TV Shows, Books, Music</t>
  </si>
  <si>
    <t>CBC Gem</t>
  </si>
  <si>
    <t>Canadian TV Shows, Movies</t>
  </si>
  <si>
    <t>Canadian Broadcasting Corporation</t>
  </si>
  <si>
    <t>Tubi Kids</t>
  </si>
  <si>
    <t>US, Canada, UK, Australia</t>
  </si>
  <si>
    <t>Kids Movies, TV Shows</t>
  </si>
  <si>
    <t>PBS Kids</t>
  </si>
  <si>
    <t>Kids Educational Content</t>
  </si>
  <si>
    <t>Cartoon Network App</t>
  </si>
  <si>
    <t>Kids Cartoons, Games</t>
  </si>
  <si>
    <t>Nickelodeon App</t>
  </si>
  <si>
    <t>Kids Shows, Games</t>
  </si>
  <si>
    <t>Disney Channel App</t>
  </si>
  <si>
    <t>Disney Kids Content</t>
  </si>
  <si>
    <t>RetroCrush</t>
  </si>
  <si>
    <t>Classic Anime</t>
  </si>
  <si>
    <t>Anime Planet</t>
  </si>
  <si>
    <t>Anime Database, Streaming</t>
  </si>
  <si>
    <t>Web, Mobile</t>
  </si>
  <si>
    <t>Anime News Network</t>
  </si>
  <si>
    <t>Anime News, Database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</si>
</sst>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</fills>
  <borders count="2">
    <border/>
    <border>
      <left style="thick">
        <color rgb="FF666666"/>
      </left>
      <right style="thick">
        <color rgb="FF666666"/>
      </right>
      <top style="thick">
        <color rgb="FF666666"/>
      </top>
      <bottom style="thick">
        <color rgb="FF66666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Font="1"/>
    <xf borderId="0" fillId="0" fontId="2" numFmtId="0" xfId="0" applyAlignment="1" applyFont="1">
      <alignment readingOrder="0"/>
    </xf>
    <xf borderId="0" fillId="2" fontId="1" numFmtId="0" xfId="0" applyFont="1"/>
    <xf borderId="1" fillId="4" fontId="1" numFmtId="0" xfId="0" applyAlignment="1" applyBorder="1" applyFill="1" applyFont="1">
      <alignment readingOrder="0"/>
    </xf>
    <xf borderId="1" fillId="4" fontId="1" numFmtId="0" xfId="0" applyBorder="1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Ingresos Mensuales: El Dominio de Netflix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paid_video_streaming_services!$AJ$1</c:f>
            </c:strRef>
          </c:tx>
          <c:spPr>
            <a:solidFill>
              <a:srgbClr val="999999"/>
            </a:solidFill>
            <a:ln cmpd="sng">
              <a:solidFill>
                <a:srgbClr val="B7B7B7">
                  <a:alpha val="100000"/>
                </a:srgbClr>
              </a:solidFill>
            </a:ln>
          </c:spPr>
          <c:dPt>
            <c:idx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paid_video_streaming_services!$A$2:$A$10</c:f>
            </c:strRef>
          </c:cat>
          <c:val>
            <c:numRef>
              <c:f>paid_video_streaming_services!$AJ$2:$AJ$10</c:f>
              <c:numCache/>
            </c:numRef>
          </c:val>
        </c:ser>
        <c:axId val="1374861560"/>
        <c:axId val="1502865136"/>
      </c:barChart>
      <c:catAx>
        <c:axId val="13748615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service_name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2865136"/>
      </c:catAx>
      <c:valAx>
        <c:axId val="15028651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revenue_mensual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86156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serif"/>
              </a:defRPr>
            </a:pPr>
            <a:r>
              <a:rPr b="1">
                <a:solidFill>
                  <a:schemeClr val="dk1"/>
                </a:solidFill>
                <a:latin typeface="serif"/>
              </a:rPr>
              <a:t>% de Smart TV de los 5 gigantes del streaming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dashboard!$D$3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dashboard!$C$4:$C$8</c:f>
            </c:strRef>
          </c:cat>
          <c:val>
            <c:numRef>
              <c:f>dashboard!$D$4:$D$8</c:f>
              <c:numCache/>
            </c:numRef>
          </c:val>
        </c:ser>
        <c:axId val="1549274036"/>
        <c:axId val="222866831"/>
      </c:barChart>
      <c:catAx>
        <c:axId val="15492740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service_name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222866831"/>
      </c:catAx>
      <c:valAx>
        <c:axId val="222866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serif"/>
                  </a:defRPr>
                </a:pPr>
                <a:r>
                  <a:rPr b="0">
                    <a:solidFill>
                      <a:srgbClr val="000000"/>
                    </a:solidFill>
                    <a:latin typeface="serif"/>
                  </a:rPr>
                  <a:t>% de Smart TV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erif"/>
              </a:defRPr>
            </a:pPr>
          </a:p>
        </c:txPr>
        <c:crossAx val="15492740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serif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2</xdr:row>
      <xdr:rowOff>180975</xdr:rowOff>
    </xdr:from>
    <xdr:ext cx="3305175" cy="2047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962025</xdr:colOff>
      <xdr:row>8</xdr:row>
      <xdr:rowOff>28575</xdr:rowOff>
    </xdr:from>
    <xdr:ext cx="3305175" cy="20478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79" sheet="paid_video_streaming_services"/>
  </cacheSource>
  <cacheFields>
    <cacheField name="service_name" numFmtId="0">
      <sharedItems>
        <s v="Netflix"/>
        <s v="Amazon Prime Video"/>
        <s v="Disney+"/>
        <s v="Max (HBO Max)"/>
        <s v="iQiyi"/>
        <s v="Zee5"/>
        <s v="Tencent Video"/>
        <s v="Youku"/>
        <s v="YouTube Premium"/>
        <s v="Mango TV"/>
        <s v="Paramount+"/>
        <s v="Hotstar"/>
        <s v="Hulu"/>
        <s v="Peacock"/>
        <s v="GloboPlay"/>
        <s v="ESPN+"/>
        <s v="Showtime"/>
        <s v="CuriosityStream"/>
        <s v="Apple TV+"/>
        <s v="Discovery+"/>
        <s v="SonyLIV"/>
        <s v="DAZN"/>
        <s v="Crunchyroll"/>
        <s v="Starz"/>
        <s v="IQIYI (International)"/>
        <s v="WeTV"/>
        <s v="Mubi"/>
        <s v="AMC+"/>
        <s v="Canal+"/>
        <s v="YouTube TV"/>
        <s v="Viaplay"/>
        <s v="NFL+"/>
        <s v="Starzplay"/>
        <s v="beIN Sports Connect"/>
        <s v="Wavve"/>
        <s v="ALTBalaji"/>
        <s v="Hulu + Live TV"/>
        <s v="Discovery+ (UK)"/>
        <s v="Sun NXT"/>
        <s v="Crave"/>
        <s v="NBA League Pass"/>
        <s v="Crave + HBO"/>
        <s v="MLB.TV"/>
        <s v="Watcha"/>
        <s v="Stan"/>
        <s v="U-NEXT"/>
        <s v="Hayu"/>
        <s v="BritBox"/>
        <s v="Aha"/>
        <s v="Eros Now"/>
        <s v="FuboTV"/>
        <s v="Sling TV"/>
        <s v="Showmax"/>
        <s v="Acorn TV"/>
        <s v="NOW TV"/>
        <s v="Funimation"/>
        <s v="DirecTV Stream"/>
        <s v="Binge"/>
        <s v="Shudder"/>
        <s v="Philo"/>
        <s v="Club Illico"/>
        <s v="Criterion Channel"/>
        <s v="VRV"/>
        <s v="MUBI Go"/>
        <s v="History Vault"/>
        <s v="Frndly TV"/>
        <s v="AnimeLab"/>
        <s v="Arrow Video Channel"/>
        <s v="Anime Strike"/>
        <s v="Vidgo"/>
        <s v="HiDive"/>
        <s v="Wakanim"/>
        <s v="Anime Digital Network"/>
        <s v="Anime on Demand"/>
        <s v="Voot Select"/>
        <s v="PBS Passport"/>
        <s v="Cineplex Store"/>
        <s v="Sky Go"/>
      </sharedItems>
    </cacheField>
    <cacheField name="type" numFmtId="0">
      <sharedItems>
        <s v="VOD"/>
        <s v="Regional"/>
        <s v="Music/VOD"/>
        <s v="Sports"/>
        <s v="Specialty"/>
        <s v="Live TV"/>
      </sharedItems>
    </cacheField>
    <cacheField name="category" numFmtId="0">
      <sharedItems>
        <s v="Paid"/>
      </sharedItems>
    </cacheField>
    <cacheField name="countries_available" numFmtId="0">
      <sharedItems>
        <s v="Global (190+ countries)"/>
        <s v="Global (200+ countries)"/>
        <s v="Global (100+ countries)"/>
        <s v="US, Latin America, Europe, Asia"/>
        <s v="China, Southeast Asia, Global"/>
        <s v="India, Global"/>
        <s v="China, Global"/>
        <s v="China"/>
        <s v="US, Canada, Latin America, Europe, Australia"/>
        <s v="India, Southeast Asia, UK, US, Canada"/>
        <s v="US, Japan"/>
        <s v="US, UK, Ireland, Germany, Austria, Italy"/>
        <s v="Brazil, Global"/>
        <s v="US"/>
        <s v="Global (180+ countries)"/>
        <s v="US, UK, Europe, India"/>
        <s v="US, Canada, UK"/>
        <s v="Southeast Asia, Global"/>
        <s v="US, Canada"/>
        <s v="France, Africa, Poland"/>
        <s v="Nordic, Baltic, Poland, Netherlands, UK, US"/>
        <s v="Middle East, North Africa, Europe"/>
        <s v="Middle East, North Africa, Europe, Asia"/>
        <s v="South Korea"/>
        <s v="UK, Ireland"/>
        <s v="Canada"/>
        <s v="Australia"/>
        <s v="Japan"/>
        <s v="UK, Ireland, Australia, Canada, US"/>
        <s v="US, UK, Canada, Australia"/>
        <s v="India"/>
        <s v="US, Canada, Spain"/>
        <s v="Africa, Europe"/>
        <s v="US, Canada, UK, Ireland, Australia, New Zealand"/>
        <s v="Australia, New Zealand"/>
        <s v="US, UK, Canada"/>
        <s v="France, Germany, Russia, Scandinavia"/>
        <s v="France, Belgium, Switzerland"/>
        <s v="Germany, Austria, Switzerland"/>
        <s v="UK, Ireland, Germany, Italy, Austria"/>
      </sharedItems>
    </cacheField>
    <cacheField name="monthly_price_usd" numFmtId="0">
      <sharedItems containsSemiMixedTypes="0" containsString="0" containsNumber="1">
        <n v="15.99"/>
        <n v="8.99"/>
        <n v="10.99"/>
        <n v="2.99"/>
        <n v="13.99"/>
        <n v="9.99"/>
        <n v="7.99"/>
        <n v="5.99"/>
        <n v="4.99"/>
        <n v="19.99"/>
        <n v="20.99"/>
        <n v="72.99"/>
        <n v="6.99"/>
        <n v="1.99"/>
        <n v="76.99"/>
        <n v="14.99"/>
        <n v="24.99"/>
        <n v="79.99"/>
        <n v="40.0"/>
        <n v="69.99"/>
        <n v="10.0"/>
        <n v="25.0"/>
        <n v="5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80" firstHeaderRow="0" firstDataRow="1" firstDataCol="0"/>
  <pivotFields>
    <pivotField name="service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typ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ategory" compact="0" outline="0" multipleItemSelectionAllowed="1" showAll="0">
      <items>
        <item x="0"/>
        <item t="default"/>
      </items>
    </pivotField>
    <pivotField name="countries_availab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monthly_price_us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0"/>
  </rowFields>
  <dataFields>
    <dataField name="SUM of monthly_price_usd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lb.tv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hyperlink" Target="http://mlb.tv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mlb.tv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1" t="s">
        <v>35</v>
      </c>
    </row>
    <row r="2">
      <c r="A2" s="1" t="s">
        <v>36</v>
      </c>
      <c r="B2" s="1" t="s">
        <v>37</v>
      </c>
      <c r="C2" s="1" t="s">
        <v>38</v>
      </c>
      <c r="D2" s="1" t="s">
        <v>39</v>
      </c>
      <c r="E2" s="2">
        <v>15.99</v>
      </c>
      <c r="F2" s="1">
        <v>191.88</v>
      </c>
      <c r="G2" s="1">
        <v>1997.0</v>
      </c>
      <c r="H2" s="1">
        <v>301.6</v>
      </c>
      <c r="I2" s="1" t="s">
        <v>40</v>
      </c>
      <c r="J2" s="1" t="s">
        <v>41</v>
      </c>
      <c r="K2" s="1" t="b">
        <v>0</v>
      </c>
      <c r="L2" s="1" t="s">
        <v>42</v>
      </c>
      <c r="M2" s="1">
        <v>13.9</v>
      </c>
      <c r="N2" s="1">
        <v>34.3</v>
      </c>
      <c r="O2" s="1">
        <v>18.3</v>
      </c>
      <c r="P2" s="1">
        <v>19.0</v>
      </c>
      <c r="Q2" s="1">
        <v>9.9</v>
      </c>
      <c r="R2" s="1">
        <v>7.7</v>
      </c>
      <c r="S2" s="1">
        <v>35.4</v>
      </c>
      <c r="T2" s="1">
        <v>23.4</v>
      </c>
      <c r="U2" s="1">
        <v>19.9</v>
      </c>
      <c r="V2" s="1">
        <v>16.2</v>
      </c>
      <c r="W2" s="1">
        <v>9.1</v>
      </c>
      <c r="X2" s="1">
        <v>6.1</v>
      </c>
      <c r="Y2" s="1" t="s">
        <v>43</v>
      </c>
      <c r="Z2" s="1">
        <v>17.8</v>
      </c>
      <c r="AA2" s="3">
        <v>1.68</v>
      </c>
      <c r="AB2" s="1">
        <v>221.7</v>
      </c>
      <c r="AC2" s="1">
        <v>239.4</v>
      </c>
      <c r="AD2" s="1">
        <v>258.6</v>
      </c>
      <c r="AE2" s="1">
        <v>279.3</v>
      </c>
      <c r="AF2" s="1">
        <v>301.6</v>
      </c>
      <c r="AG2" s="5">
        <f t="array" ref="AG2">XLOOKUP(A2, predicciones!G:G, predicciones!B:B, "No encontrado")</f>
        <v>364.6064061</v>
      </c>
      <c r="AH2" s="5">
        <f t="shared" ref="AH2:AH79" si="1">SUM(AG2-H2)</f>
        <v>63.00640608</v>
      </c>
      <c r="AI2" s="6" t="str">
        <f t="array" ref="AI2">XLOOKUP(L2, Free_Streaming!L:L, Free_Streaming!A:A, "Sin servicio gratis")</f>
        <v>Sin servicio gratis</v>
      </c>
      <c r="AJ2" s="5">
        <f t="shared" ref="AJ2:AJ79" si="2">SUM(H2 * Z2)</f>
        <v>5368.48</v>
      </c>
    </row>
    <row r="3">
      <c r="A3" s="1" t="s">
        <v>44</v>
      </c>
      <c r="B3" s="1" t="s">
        <v>37</v>
      </c>
      <c r="C3" s="1" t="s">
        <v>38</v>
      </c>
      <c r="D3" s="1" t="s">
        <v>45</v>
      </c>
      <c r="E3" s="2">
        <v>8.99</v>
      </c>
      <c r="F3" s="1">
        <v>107.88</v>
      </c>
      <c r="G3" s="1">
        <v>2006.0</v>
      </c>
      <c r="H3" s="1">
        <v>220.0</v>
      </c>
      <c r="I3" s="1" t="s">
        <v>40</v>
      </c>
      <c r="J3" s="1" t="s">
        <v>41</v>
      </c>
      <c r="K3" s="1" t="b">
        <v>0</v>
      </c>
      <c r="L3" s="1" t="s">
        <v>46</v>
      </c>
      <c r="M3" s="1">
        <v>8.8</v>
      </c>
      <c r="N3" s="1">
        <v>32.6</v>
      </c>
      <c r="O3" s="1">
        <v>19.0</v>
      </c>
      <c r="P3" s="1">
        <v>13.1</v>
      </c>
      <c r="Q3" s="1">
        <v>10.4</v>
      </c>
      <c r="R3" s="1">
        <v>9.3</v>
      </c>
      <c r="S3" s="1">
        <v>39.1</v>
      </c>
      <c r="T3" s="1">
        <v>27.8</v>
      </c>
      <c r="U3" s="1">
        <v>12.1</v>
      </c>
      <c r="V3" s="1">
        <v>13.3</v>
      </c>
      <c r="W3" s="1">
        <v>6.2</v>
      </c>
      <c r="X3" s="1">
        <v>3.1</v>
      </c>
      <c r="Y3" s="1" t="s">
        <v>43</v>
      </c>
      <c r="Z3" s="1">
        <v>8.3</v>
      </c>
      <c r="AA3" s="3">
        <v>1.68</v>
      </c>
      <c r="AB3" s="1">
        <v>161.7</v>
      </c>
      <c r="AC3" s="1">
        <v>174.6</v>
      </c>
      <c r="AD3" s="1">
        <v>188.6</v>
      </c>
      <c r="AE3" s="1">
        <v>203.7</v>
      </c>
      <c r="AF3" s="1">
        <v>220.0</v>
      </c>
      <c r="AG3" s="5">
        <f t="array" ref="AG3">XLOOKUP(A3, predicciones!G:G, predicciones!B:B, "No encontrado")</f>
        <v>265.95958</v>
      </c>
      <c r="AH3" s="5">
        <f t="shared" si="1"/>
        <v>45.95958003</v>
      </c>
      <c r="AI3" s="6" t="str">
        <f t="array" ref="AI3">XLOOKUP(L3, Free_Streaming!L:L, Free_Streaming!A:A, "Sin servicio gratis")</f>
        <v>Freevee (IMDb TV)</v>
      </c>
      <c r="AJ3" s="5">
        <f t="shared" si="2"/>
        <v>1826</v>
      </c>
    </row>
    <row r="4">
      <c r="A4" s="1" t="s">
        <v>47</v>
      </c>
      <c r="B4" s="1" t="s">
        <v>37</v>
      </c>
      <c r="C4" s="1" t="s">
        <v>38</v>
      </c>
      <c r="D4" s="1" t="s">
        <v>48</v>
      </c>
      <c r="E4" s="2">
        <v>10.99</v>
      </c>
      <c r="F4" s="1">
        <v>109.99</v>
      </c>
      <c r="G4" s="1">
        <v>2019.0</v>
      </c>
      <c r="H4" s="1">
        <v>131.6</v>
      </c>
      <c r="I4" s="1" t="s">
        <v>49</v>
      </c>
      <c r="J4" s="1" t="s">
        <v>41</v>
      </c>
      <c r="K4" s="1" t="b">
        <v>0</v>
      </c>
      <c r="L4" s="1" t="s">
        <v>50</v>
      </c>
      <c r="M4" s="1">
        <v>24.6</v>
      </c>
      <c r="N4" s="1">
        <v>27.6</v>
      </c>
      <c r="O4" s="1">
        <v>21.5</v>
      </c>
      <c r="P4" s="1">
        <v>26.5</v>
      </c>
      <c r="Q4" s="1">
        <v>13.8</v>
      </c>
      <c r="R4" s="1">
        <v>2.4</v>
      </c>
      <c r="S4" s="1">
        <v>42.2</v>
      </c>
      <c r="T4" s="1">
        <v>20.5</v>
      </c>
      <c r="U4" s="1">
        <v>15.9</v>
      </c>
      <c r="V4" s="1">
        <v>13.8</v>
      </c>
      <c r="W4" s="1">
        <v>6.7</v>
      </c>
      <c r="X4" s="1">
        <v>7.6</v>
      </c>
      <c r="Y4" s="1" t="s">
        <v>43</v>
      </c>
      <c r="Z4" s="1">
        <v>11.16</v>
      </c>
      <c r="AA4" s="3">
        <v>1.89</v>
      </c>
      <c r="AB4" s="1">
        <v>53.9</v>
      </c>
      <c r="AC4" s="1">
        <v>67.4</v>
      </c>
      <c r="AD4" s="1">
        <v>84.2</v>
      </c>
      <c r="AE4" s="1">
        <v>105.3</v>
      </c>
      <c r="AF4" s="1">
        <v>131.6</v>
      </c>
      <c r="AG4" s="5">
        <f t="array" ref="AG4">XLOOKUP(A4, predicciones!G:G, predicciones!B:B, "No encontrado")</f>
        <v>208.6674794</v>
      </c>
      <c r="AH4" s="5">
        <f t="shared" si="1"/>
        <v>77.06747945</v>
      </c>
      <c r="AI4" s="6" t="str">
        <f t="array" ref="AI4">XLOOKUP(L4, Free_Streaming!L:L, Free_Streaming!A:A, "Sin servicio gratis")</f>
        <v>Disney Channel App</v>
      </c>
      <c r="AJ4" s="5">
        <f t="shared" si="2"/>
        <v>1468.656</v>
      </c>
    </row>
    <row r="5">
      <c r="A5" s="1" t="s">
        <v>51</v>
      </c>
      <c r="B5" s="1" t="s">
        <v>37</v>
      </c>
      <c r="C5" s="1" t="s">
        <v>38</v>
      </c>
      <c r="D5" s="1" t="s">
        <v>52</v>
      </c>
      <c r="E5" s="2">
        <v>15.99</v>
      </c>
      <c r="F5" s="1">
        <v>149.99</v>
      </c>
      <c r="G5" s="1">
        <v>2020.0</v>
      </c>
      <c r="H5" s="1">
        <v>128.0</v>
      </c>
      <c r="I5" s="1" t="s">
        <v>53</v>
      </c>
      <c r="J5" s="1" t="s">
        <v>41</v>
      </c>
      <c r="K5" s="1" t="b">
        <v>0</v>
      </c>
      <c r="L5" s="1" t="s">
        <v>54</v>
      </c>
      <c r="M5" s="1">
        <v>17.3</v>
      </c>
      <c r="N5" s="1">
        <v>23.7</v>
      </c>
      <c r="O5" s="1">
        <v>25.6</v>
      </c>
      <c r="P5" s="1">
        <v>24.5</v>
      </c>
      <c r="Q5" s="1">
        <v>11.2</v>
      </c>
      <c r="R5" s="1">
        <v>7.0</v>
      </c>
      <c r="S5" s="1">
        <v>42.8</v>
      </c>
      <c r="T5" s="1">
        <v>18.7</v>
      </c>
      <c r="U5" s="1">
        <v>16.3</v>
      </c>
      <c r="V5" s="1">
        <v>16.6</v>
      </c>
      <c r="W5" s="1">
        <v>8.6</v>
      </c>
      <c r="X5" s="1">
        <v>5.5</v>
      </c>
      <c r="Y5" s="1" t="s">
        <v>43</v>
      </c>
      <c r="Z5" s="1">
        <v>14.51</v>
      </c>
      <c r="AA5" s="3">
        <v>2.1</v>
      </c>
      <c r="AB5" s="1">
        <v>12.8</v>
      </c>
      <c r="AC5" s="1">
        <v>65.5</v>
      </c>
      <c r="AD5" s="1">
        <v>81.9</v>
      </c>
      <c r="AE5" s="1">
        <v>102.4</v>
      </c>
      <c r="AF5" s="1">
        <v>128.0</v>
      </c>
      <c r="AG5" s="5">
        <f t="array" ref="AG5">XLOOKUP(A5, predicciones!G:G, predicciones!B:B, "No encontrado")</f>
        <v>202.8645283</v>
      </c>
      <c r="AH5" s="5">
        <f t="shared" si="1"/>
        <v>74.8645283</v>
      </c>
      <c r="AI5" s="6" t="str">
        <f t="array" ref="AI5">XLOOKUP(L5, Free_Streaming!L:L, Free_Streaming!A:A, "Sin servicio gratis")</f>
        <v>Cartoon Network App</v>
      </c>
      <c r="AJ5" s="5">
        <f t="shared" si="2"/>
        <v>1857.28</v>
      </c>
    </row>
    <row r="6">
      <c r="A6" s="1" t="s">
        <v>55</v>
      </c>
      <c r="B6" s="1" t="s">
        <v>56</v>
      </c>
      <c r="C6" s="1" t="s">
        <v>38</v>
      </c>
      <c r="D6" s="1" t="s">
        <v>57</v>
      </c>
      <c r="E6" s="2">
        <v>2.99</v>
      </c>
      <c r="F6" s="1">
        <v>29.99</v>
      </c>
      <c r="G6" s="1">
        <v>2010.0</v>
      </c>
      <c r="H6" s="1">
        <v>125.0</v>
      </c>
      <c r="I6" s="1" t="s">
        <v>40</v>
      </c>
      <c r="J6" s="1" t="s">
        <v>58</v>
      </c>
      <c r="K6" s="1" t="b">
        <v>0</v>
      </c>
      <c r="L6" s="1" t="s">
        <v>59</v>
      </c>
      <c r="M6" s="1">
        <v>16.3</v>
      </c>
      <c r="N6" s="1">
        <v>26.5</v>
      </c>
      <c r="O6" s="1">
        <v>21.8</v>
      </c>
      <c r="P6" s="1">
        <v>16.3</v>
      </c>
      <c r="Q6" s="1">
        <v>11.0</v>
      </c>
      <c r="R6" s="1">
        <v>8.7</v>
      </c>
      <c r="S6" s="1">
        <v>30.6</v>
      </c>
      <c r="T6" s="1">
        <v>30.9</v>
      </c>
      <c r="U6" s="1">
        <v>17.4</v>
      </c>
      <c r="V6" s="1">
        <v>11.0</v>
      </c>
      <c r="W6" s="1">
        <v>9.2</v>
      </c>
      <c r="X6" s="1">
        <v>2.5</v>
      </c>
      <c r="Y6" s="1" t="s">
        <v>43</v>
      </c>
      <c r="Z6" s="1">
        <v>2.63</v>
      </c>
      <c r="AA6" s="3">
        <v>1.68</v>
      </c>
      <c r="AB6" s="1">
        <v>91.9</v>
      </c>
      <c r="AC6" s="1">
        <v>99.2</v>
      </c>
      <c r="AD6" s="1">
        <v>107.2</v>
      </c>
      <c r="AE6" s="1">
        <v>115.7</v>
      </c>
      <c r="AF6" s="1">
        <v>125.0</v>
      </c>
      <c r="AG6" s="5">
        <f t="array" ref="AG6">XLOOKUP(A6, predicciones!G:G, predicciones!B:B, "No encontrado")</f>
        <v>170.8222762</v>
      </c>
      <c r="AH6" s="5">
        <f t="shared" si="1"/>
        <v>45.82227619</v>
      </c>
      <c r="AI6" s="6" t="str">
        <f t="array" ref="AI6">XLOOKUP(L6, Free_Streaming!L:L, Free_Streaming!A:A, "Sin servicio gratis")</f>
        <v>Sin servicio gratis</v>
      </c>
      <c r="AJ6" s="5">
        <f t="shared" si="2"/>
        <v>328.75</v>
      </c>
    </row>
    <row r="7">
      <c r="A7" s="1" t="s">
        <v>60</v>
      </c>
      <c r="B7" s="1" t="s">
        <v>56</v>
      </c>
      <c r="C7" s="1" t="s">
        <v>38</v>
      </c>
      <c r="D7" s="1" t="s">
        <v>61</v>
      </c>
      <c r="E7" s="2">
        <v>2.99</v>
      </c>
      <c r="F7" s="1">
        <v>29.99</v>
      </c>
      <c r="G7" s="1">
        <v>2018.0</v>
      </c>
      <c r="H7" s="1">
        <v>120.0</v>
      </c>
      <c r="I7" s="1" t="s">
        <v>40</v>
      </c>
      <c r="J7" s="1" t="s">
        <v>58</v>
      </c>
      <c r="K7" s="1" t="b">
        <v>0</v>
      </c>
      <c r="L7" s="1" t="s">
        <v>62</v>
      </c>
      <c r="M7" s="1">
        <v>17.6</v>
      </c>
      <c r="N7" s="1">
        <v>29.1</v>
      </c>
      <c r="O7" s="1">
        <v>22.1</v>
      </c>
      <c r="P7" s="1">
        <v>24.1</v>
      </c>
      <c r="Q7" s="1">
        <v>14.5</v>
      </c>
      <c r="R7" s="1">
        <v>3.8</v>
      </c>
      <c r="S7" s="1">
        <v>36.9</v>
      </c>
      <c r="T7" s="1">
        <v>20.4</v>
      </c>
      <c r="U7" s="1">
        <v>17.1</v>
      </c>
      <c r="V7" s="1">
        <v>16.7</v>
      </c>
      <c r="W7" s="1">
        <v>7.1</v>
      </c>
      <c r="X7" s="1">
        <v>6.3</v>
      </c>
      <c r="Y7" s="1" t="s">
        <v>43</v>
      </c>
      <c r="Z7" s="1">
        <v>3.36</v>
      </c>
      <c r="AA7" s="3">
        <v>1.89</v>
      </c>
      <c r="AB7" s="1">
        <v>49.2</v>
      </c>
      <c r="AC7" s="1">
        <v>61.4</v>
      </c>
      <c r="AD7" s="1">
        <v>76.8</v>
      </c>
      <c r="AE7" s="1">
        <v>104.3</v>
      </c>
      <c r="AF7" s="1">
        <v>120.0</v>
      </c>
      <c r="AG7" s="5">
        <f t="array" ref="AG7">XLOOKUP(A7, predicciones!G:G, predicciones!B:B, "No encontrado")</f>
        <v>163.936819</v>
      </c>
      <c r="AH7" s="5">
        <f t="shared" si="1"/>
        <v>43.93681904</v>
      </c>
      <c r="AI7" s="6" t="str">
        <f t="array" ref="AI7">XLOOKUP(L7, Free_Streaming!L:L, Free_Streaming!A:A, "Sin servicio gratis")</f>
        <v>Sin servicio gratis</v>
      </c>
      <c r="AJ7" s="5">
        <f t="shared" si="2"/>
        <v>403.2</v>
      </c>
    </row>
    <row r="8">
      <c r="A8" s="1" t="s">
        <v>63</v>
      </c>
      <c r="B8" s="1" t="s">
        <v>56</v>
      </c>
      <c r="C8" s="1" t="s">
        <v>38</v>
      </c>
      <c r="D8" s="1" t="s">
        <v>64</v>
      </c>
      <c r="E8" s="2">
        <v>2.99</v>
      </c>
      <c r="F8" s="1">
        <v>29.99</v>
      </c>
      <c r="G8" s="1">
        <v>2011.0</v>
      </c>
      <c r="H8" s="1">
        <v>120.0</v>
      </c>
      <c r="I8" s="1" t="s">
        <v>40</v>
      </c>
      <c r="J8" s="1" t="s">
        <v>58</v>
      </c>
      <c r="K8" s="1" t="b">
        <v>0</v>
      </c>
      <c r="L8" s="1" t="s">
        <v>65</v>
      </c>
      <c r="M8" s="1">
        <v>14.9</v>
      </c>
      <c r="N8" s="1">
        <v>19.4</v>
      </c>
      <c r="O8" s="1">
        <v>17.9</v>
      </c>
      <c r="P8" s="1">
        <v>15.9</v>
      </c>
      <c r="Q8" s="1">
        <v>15.2</v>
      </c>
      <c r="R8" s="1">
        <v>8.0</v>
      </c>
      <c r="S8" s="1">
        <v>37.1</v>
      </c>
      <c r="T8" s="1">
        <v>19.6</v>
      </c>
      <c r="U8" s="1">
        <v>9.8</v>
      </c>
      <c r="V8" s="1">
        <v>7.8</v>
      </c>
      <c r="W8" s="1">
        <v>5.1</v>
      </c>
      <c r="X8" s="1">
        <v>2.9</v>
      </c>
      <c r="Y8" s="1" t="s">
        <v>43</v>
      </c>
      <c r="Z8" s="1">
        <v>3.28</v>
      </c>
      <c r="AA8" s="3">
        <v>1.68</v>
      </c>
      <c r="AB8" s="1">
        <v>68.6</v>
      </c>
      <c r="AC8" s="1">
        <v>95.3</v>
      </c>
      <c r="AD8" s="1">
        <v>102.9</v>
      </c>
      <c r="AE8" s="1">
        <v>111.1</v>
      </c>
      <c r="AF8" s="1">
        <v>120.0</v>
      </c>
      <c r="AG8" s="5">
        <f t="array" ref="AG8">XLOOKUP(A8, predicciones!G:G, predicciones!B:B, "No encontrado")</f>
        <v>163.9893851</v>
      </c>
      <c r="AH8" s="5">
        <f t="shared" si="1"/>
        <v>43.98938514</v>
      </c>
      <c r="AI8" s="6" t="str">
        <f t="array" ref="AI8">XLOOKUP(L8, Free_Streaming!L:L, Free_Streaming!A:A, "Sin servicio gratis")</f>
        <v>Sin servicio gratis</v>
      </c>
      <c r="AJ8" s="5">
        <f t="shared" si="2"/>
        <v>393.6</v>
      </c>
    </row>
    <row r="9">
      <c r="A9" s="1" t="s">
        <v>66</v>
      </c>
      <c r="B9" s="1" t="s">
        <v>56</v>
      </c>
      <c r="C9" s="1" t="s">
        <v>38</v>
      </c>
      <c r="D9" s="1" t="s">
        <v>67</v>
      </c>
      <c r="E9" s="2">
        <v>2.99</v>
      </c>
      <c r="F9" s="1">
        <v>29.99</v>
      </c>
      <c r="G9" s="1">
        <v>2006.0</v>
      </c>
      <c r="H9" s="1">
        <v>105.0</v>
      </c>
      <c r="I9" s="1" t="s">
        <v>40</v>
      </c>
      <c r="J9" s="1" t="s">
        <v>58</v>
      </c>
      <c r="K9" s="1" t="b">
        <v>0</v>
      </c>
      <c r="L9" s="1" t="s">
        <v>68</v>
      </c>
      <c r="M9" s="1">
        <v>9.0</v>
      </c>
      <c r="N9" s="1">
        <v>25.2</v>
      </c>
      <c r="O9" s="1">
        <v>20.9</v>
      </c>
      <c r="P9" s="1">
        <v>17.1</v>
      </c>
      <c r="Q9" s="1">
        <v>8.3</v>
      </c>
      <c r="R9" s="1">
        <v>6.5</v>
      </c>
      <c r="S9" s="1">
        <v>40.1</v>
      </c>
      <c r="T9" s="1">
        <v>26.3</v>
      </c>
      <c r="U9" s="1">
        <v>11.0</v>
      </c>
      <c r="V9" s="1">
        <v>12.0</v>
      </c>
      <c r="W9" s="1">
        <v>11.2</v>
      </c>
      <c r="X9" s="1">
        <v>5.7</v>
      </c>
      <c r="Y9" s="1" t="s">
        <v>43</v>
      </c>
      <c r="Z9" s="1">
        <v>3.22</v>
      </c>
      <c r="AA9" s="3">
        <v>1.68</v>
      </c>
      <c r="AB9" s="1">
        <v>77.2</v>
      </c>
      <c r="AC9" s="1">
        <v>83.4</v>
      </c>
      <c r="AD9" s="1">
        <v>90.0</v>
      </c>
      <c r="AE9" s="1">
        <v>97.2</v>
      </c>
      <c r="AF9" s="1">
        <v>105.0</v>
      </c>
      <c r="AG9" s="5">
        <f t="array" ref="AG9">XLOOKUP(A9, predicciones!G:G, predicciones!B:B, "No encontrado")</f>
        <v>143.490712</v>
      </c>
      <c r="AH9" s="5">
        <f t="shared" si="1"/>
        <v>38.490712</v>
      </c>
      <c r="AI9" s="6" t="str">
        <f t="array" ref="AI9">XLOOKUP(L9, Free_Streaming!L:L, Free_Streaming!A:A, "Sin servicio gratis")</f>
        <v>Sin servicio gratis</v>
      </c>
      <c r="AJ9" s="5">
        <f t="shared" si="2"/>
        <v>338.1</v>
      </c>
    </row>
    <row r="10">
      <c r="A10" s="1" t="s">
        <v>69</v>
      </c>
      <c r="B10" s="1" t="s">
        <v>70</v>
      </c>
      <c r="C10" s="1" t="s">
        <v>38</v>
      </c>
      <c r="D10" s="1" t="s">
        <v>48</v>
      </c>
      <c r="E10" s="2">
        <v>13.99</v>
      </c>
      <c r="F10" s="1">
        <v>139.99</v>
      </c>
      <c r="G10" s="1">
        <v>2015.0</v>
      </c>
      <c r="H10" s="1">
        <v>100.0</v>
      </c>
      <c r="I10" s="1" t="s">
        <v>71</v>
      </c>
      <c r="J10" s="1" t="s">
        <v>58</v>
      </c>
      <c r="K10" s="1" t="b">
        <v>0</v>
      </c>
      <c r="L10" s="1" t="s">
        <v>72</v>
      </c>
      <c r="M10" s="1">
        <v>15.1</v>
      </c>
      <c r="N10" s="1">
        <v>30.7</v>
      </c>
      <c r="O10" s="1">
        <v>24.0</v>
      </c>
      <c r="P10" s="1">
        <v>21.8</v>
      </c>
      <c r="Q10" s="1">
        <v>13.6</v>
      </c>
      <c r="R10" s="1">
        <v>3.3</v>
      </c>
      <c r="S10" s="1">
        <v>38.2</v>
      </c>
      <c r="T10" s="1">
        <v>25.3</v>
      </c>
      <c r="U10" s="1">
        <v>9.6</v>
      </c>
      <c r="V10" s="1">
        <v>11.7</v>
      </c>
      <c r="W10" s="1">
        <v>9.1</v>
      </c>
      <c r="X10" s="1">
        <v>7.4</v>
      </c>
      <c r="Y10" s="1" t="s">
        <v>73</v>
      </c>
      <c r="Z10" s="1">
        <v>12.1</v>
      </c>
      <c r="AA10" s="3">
        <v>2.29</v>
      </c>
      <c r="AB10" s="1">
        <v>57.2</v>
      </c>
      <c r="AC10" s="1">
        <v>65.8</v>
      </c>
      <c r="AD10" s="1">
        <v>75.6</v>
      </c>
      <c r="AE10" s="1">
        <v>87.0</v>
      </c>
      <c r="AF10" s="1">
        <v>100.0</v>
      </c>
      <c r="AG10" s="5">
        <f t="array" ref="AG10">XLOOKUP(A10, predicciones!G:G, predicciones!B:B, "No encontrado")</f>
        <v>146.3107598</v>
      </c>
      <c r="AH10" s="5">
        <f t="shared" si="1"/>
        <v>46.31075981</v>
      </c>
      <c r="AI10" s="6" t="str">
        <f t="array" ref="AI10">XLOOKUP(L10, Free_Streaming!L:L, Free_Streaming!A:A, "Sin servicio gratis")</f>
        <v>Sin servicio gratis</v>
      </c>
      <c r="AJ10" s="5">
        <f t="shared" si="2"/>
        <v>1210</v>
      </c>
    </row>
    <row r="11">
      <c r="A11" s="1" t="s">
        <v>74</v>
      </c>
      <c r="B11" s="1" t="s">
        <v>56</v>
      </c>
      <c r="C11" s="1" t="s">
        <v>38</v>
      </c>
      <c r="D11" s="1" t="s">
        <v>67</v>
      </c>
      <c r="E11" s="2">
        <v>2.99</v>
      </c>
      <c r="F11" s="1">
        <v>29.99</v>
      </c>
      <c r="G11" s="1">
        <v>2014.0</v>
      </c>
      <c r="H11" s="1">
        <v>85.0</v>
      </c>
      <c r="I11" s="1" t="s">
        <v>75</v>
      </c>
      <c r="J11" s="1" t="s">
        <v>58</v>
      </c>
      <c r="K11" s="1" t="b">
        <v>0</v>
      </c>
      <c r="L11" s="1" t="s">
        <v>76</v>
      </c>
      <c r="M11" s="1">
        <v>19.9</v>
      </c>
      <c r="N11" s="1">
        <v>28.4</v>
      </c>
      <c r="O11" s="1">
        <v>18.8</v>
      </c>
      <c r="P11" s="1">
        <v>20.7</v>
      </c>
      <c r="Q11" s="1">
        <v>11.0</v>
      </c>
      <c r="R11" s="1">
        <v>7.5</v>
      </c>
      <c r="S11" s="1">
        <v>39.7</v>
      </c>
      <c r="T11" s="1">
        <v>27.3</v>
      </c>
      <c r="U11" s="1">
        <v>12.7</v>
      </c>
      <c r="V11" s="1">
        <v>15.8</v>
      </c>
      <c r="W11" s="1">
        <v>6.2</v>
      </c>
      <c r="X11" s="1">
        <v>3.7</v>
      </c>
      <c r="Y11" s="1" t="s">
        <v>73</v>
      </c>
      <c r="Z11" s="1">
        <v>3.3</v>
      </c>
      <c r="AA11" s="3">
        <v>2.04</v>
      </c>
      <c r="AB11" s="1">
        <v>48.6</v>
      </c>
      <c r="AC11" s="1">
        <v>55.9</v>
      </c>
      <c r="AD11" s="1">
        <v>64.3</v>
      </c>
      <c r="AE11" s="1">
        <v>73.9</v>
      </c>
      <c r="AF11" s="1">
        <v>85.0</v>
      </c>
      <c r="AG11" s="5">
        <f t="array" ref="AG11">XLOOKUP(A11, predicciones!G:G, predicciones!B:B, "No encontrado")</f>
        <v>124.4217814</v>
      </c>
      <c r="AH11" s="5">
        <f t="shared" si="1"/>
        <v>39.42178139</v>
      </c>
      <c r="AI11" s="6" t="str">
        <f t="array" ref="AI11">XLOOKUP(L11, Free_Streaming!L:L, Free_Streaming!A:A, "Sin servicio gratis")</f>
        <v>Sin servicio gratis</v>
      </c>
      <c r="AJ11" s="5">
        <f t="shared" si="2"/>
        <v>280.5</v>
      </c>
    </row>
    <row r="12">
      <c r="A12" s="1" t="s">
        <v>77</v>
      </c>
      <c r="B12" s="1" t="s">
        <v>37</v>
      </c>
      <c r="C12" s="1" t="s">
        <v>38</v>
      </c>
      <c r="D12" s="1" t="s">
        <v>78</v>
      </c>
      <c r="E12" s="2">
        <v>9.99</v>
      </c>
      <c r="F12" s="1">
        <v>99.99</v>
      </c>
      <c r="G12" s="1">
        <v>2021.0</v>
      </c>
      <c r="H12" s="1">
        <v>77.5</v>
      </c>
      <c r="I12" s="1" t="s">
        <v>79</v>
      </c>
      <c r="J12" s="1" t="s">
        <v>41</v>
      </c>
      <c r="K12" s="1" t="b">
        <v>0</v>
      </c>
      <c r="L12" s="1" t="s">
        <v>80</v>
      </c>
      <c r="M12" s="1">
        <v>15.3</v>
      </c>
      <c r="N12" s="1">
        <v>28.5</v>
      </c>
      <c r="O12" s="1">
        <v>27.9</v>
      </c>
      <c r="P12" s="1">
        <v>14.2</v>
      </c>
      <c r="Q12" s="1">
        <v>7.0</v>
      </c>
      <c r="R12" s="1">
        <v>7.7</v>
      </c>
      <c r="S12" s="1">
        <v>29.9</v>
      </c>
      <c r="T12" s="1">
        <v>24.0</v>
      </c>
      <c r="U12" s="1">
        <v>15.8</v>
      </c>
      <c r="V12" s="1">
        <v>14.3</v>
      </c>
      <c r="W12" s="1">
        <v>4.9</v>
      </c>
      <c r="X12" s="1">
        <v>5.6</v>
      </c>
      <c r="Y12" s="1" t="s">
        <v>73</v>
      </c>
      <c r="Z12" s="1">
        <v>9.8</v>
      </c>
      <c r="AA12" s="3">
        <v>2.55</v>
      </c>
      <c r="AB12" s="1">
        <v>0.0</v>
      </c>
      <c r="AC12" s="1">
        <v>7.8</v>
      </c>
      <c r="AD12" s="1">
        <v>49.6</v>
      </c>
      <c r="AE12" s="1">
        <v>62.0</v>
      </c>
      <c r="AF12" s="1">
        <v>77.5</v>
      </c>
      <c r="AG12" s="5">
        <f t="array" ref="AG12">XLOOKUP(A12, predicciones!G:G, predicciones!B:B, "No encontrado")</f>
        <v>172.6596392</v>
      </c>
      <c r="AH12" s="5">
        <f t="shared" si="1"/>
        <v>95.15963919</v>
      </c>
      <c r="AI12" s="6" t="str">
        <f t="array" ref="AI12">XLOOKUP(L12, Free_Streaming!L:L, Free_Streaming!A:A, "Sin servicio gratis")</f>
        <v>Pluto TV</v>
      </c>
      <c r="AJ12" s="5">
        <f t="shared" si="2"/>
        <v>759.5</v>
      </c>
    </row>
    <row r="13">
      <c r="A13" s="1" t="s">
        <v>81</v>
      </c>
      <c r="B13" s="1" t="s">
        <v>56</v>
      </c>
      <c r="C13" s="1" t="s">
        <v>38</v>
      </c>
      <c r="D13" s="1" t="s">
        <v>82</v>
      </c>
      <c r="E13" s="2">
        <v>2.99</v>
      </c>
      <c r="F13" s="1">
        <v>29.99</v>
      </c>
      <c r="G13" s="1">
        <v>2015.0</v>
      </c>
      <c r="H13" s="1">
        <v>62.0</v>
      </c>
      <c r="I13" s="1" t="s">
        <v>83</v>
      </c>
      <c r="J13" s="1" t="s">
        <v>58</v>
      </c>
      <c r="K13" s="1" t="b">
        <v>0</v>
      </c>
      <c r="L13" s="1" t="s">
        <v>50</v>
      </c>
      <c r="M13" s="1">
        <v>10.4</v>
      </c>
      <c r="N13" s="1">
        <v>31.3</v>
      </c>
      <c r="O13" s="1">
        <v>22.3</v>
      </c>
      <c r="P13" s="1">
        <v>14.8</v>
      </c>
      <c r="Q13" s="1">
        <v>14.4</v>
      </c>
      <c r="R13" s="1">
        <v>3.2</v>
      </c>
      <c r="S13" s="1">
        <v>40.7</v>
      </c>
      <c r="T13" s="1">
        <v>20.8</v>
      </c>
      <c r="U13" s="1">
        <v>12.2</v>
      </c>
      <c r="V13" s="1">
        <v>17.7</v>
      </c>
      <c r="W13" s="1">
        <v>6.2</v>
      </c>
      <c r="X13" s="1">
        <v>2.2</v>
      </c>
      <c r="Y13" s="1" t="s">
        <v>73</v>
      </c>
      <c r="Z13" s="1">
        <v>2.85</v>
      </c>
      <c r="AA13" s="3">
        <v>2.29</v>
      </c>
      <c r="AB13" s="1">
        <v>35.4</v>
      </c>
      <c r="AC13" s="1">
        <v>40.8</v>
      </c>
      <c r="AD13" s="1">
        <v>46.9</v>
      </c>
      <c r="AE13" s="1">
        <v>53.9</v>
      </c>
      <c r="AF13" s="1">
        <v>62.0</v>
      </c>
      <c r="AG13" s="5">
        <f t="array" ref="AG13">XLOOKUP(A13, predicciones!G:G, predicciones!B:B, "No encontrado")</f>
        <v>90.71267108</v>
      </c>
      <c r="AH13" s="5">
        <f t="shared" si="1"/>
        <v>28.71267108</v>
      </c>
      <c r="AI13" s="6" t="str">
        <f t="array" ref="AI13">XLOOKUP(L13, Free_Streaming!L:L, Free_Streaming!A:A, "Sin servicio gratis")</f>
        <v>Disney Channel App</v>
      </c>
      <c r="AJ13" s="5">
        <f t="shared" si="2"/>
        <v>176.7</v>
      </c>
    </row>
    <row r="14">
      <c r="A14" s="1" t="s">
        <v>84</v>
      </c>
      <c r="B14" s="1" t="s">
        <v>37</v>
      </c>
      <c r="C14" s="1" t="s">
        <v>38</v>
      </c>
      <c r="D14" s="1" t="s">
        <v>85</v>
      </c>
      <c r="E14" s="2">
        <v>7.99</v>
      </c>
      <c r="F14" s="1">
        <v>79.99</v>
      </c>
      <c r="G14" s="1">
        <v>2007.0</v>
      </c>
      <c r="H14" s="1">
        <v>50.2</v>
      </c>
      <c r="I14" s="1" t="s">
        <v>40</v>
      </c>
      <c r="J14" s="1" t="s">
        <v>41</v>
      </c>
      <c r="K14" s="1" t="b">
        <v>0</v>
      </c>
      <c r="L14" s="1" t="s">
        <v>50</v>
      </c>
      <c r="M14" s="1">
        <v>7.9</v>
      </c>
      <c r="N14" s="1">
        <v>27.0</v>
      </c>
      <c r="O14" s="1">
        <v>18.4</v>
      </c>
      <c r="P14" s="1">
        <v>14.7</v>
      </c>
      <c r="Q14" s="1">
        <v>8.6</v>
      </c>
      <c r="R14" s="1">
        <v>2.4</v>
      </c>
      <c r="S14" s="1">
        <v>35.7</v>
      </c>
      <c r="T14" s="1">
        <v>23.1</v>
      </c>
      <c r="U14" s="1">
        <v>19.2</v>
      </c>
      <c r="V14" s="1">
        <v>12.3</v>
      </c>
      <c r="W14" s="1">
        <v>2.5</v>
      </c>
      <c r="X14" s="1">
        <v>2.4</v>
      </c>
      <c r="Y14" s="1" t="s">
        <v>73</v>
      </c>
      <c r="Z14" s="1">
        <v>8.1</v>
      </c>
      <c r="AA14" s="3">
        <v>2.04</v>
      </c>
      <c r="AB14" s="1">
        <v>36.9</v>
      </c>
      <c r="AC14" s="1">
        <v>39.9</v>
      </c>
      <c r="AD14" s="1">
        <v>43.0</v>
      </c>
      <c r="AE14" s="1">
        <v>46.5</v>
      </c>
      <c r="AF14" s="1">
        <v>50.2</v>
      </c>
      <c r="AG14" s="5">
        <f t="array" ref="AG14">XLOOKUP(A14, predicciones!G:G, predicciones!B:B, "No encontrado")</f>
        <v>63.31337059</v>
      </c>
      <c r="AH14" s="5">
        <f t="shared" si="1"/>
        <v>13.11337059</v>
      </c>
      <c r="AI14" s="6" t="str">
        <f t="array" ref="AI14">XLOOKUP(L14, Free_Streaming!L:L, Free_Streaming!A:A, "Sin servicio gratis")</f>
        <v>Disney Channel App</v>
      </c>
      <c r="AJ14" s="5">
        <f t="shared" si="2"/>
        <v>406.62</v>
      </c>
    </row>
    <row r="15">
      <c r="A15" s="1" t="s">
        <v>86</v>
      </c>
      <c r="B15" s="1" t="s">
        <v>37</v>
      </c>
      <c r="C15" s="1" t="s">
        <v>38</v>
      </c>
      <c r="D15" s="1" t="s">
        <v>87</v>
      </c>
      <c r="E15" s="2">
        <v>5.99</v>
      </c>
      <c r="F15" s="1">
        <v>59.99</v>
      </c>
      <c r="G15" s="1">
        <v>2020.0</v>
      </c>
      <c r="H15" s="1">
        <v>34.0</v>
      </c>
      <c r="I15" s="1" t="s">
        <v>88</v>
      </c>
      <c r="J15" s="1" t="s">
        <v>41</v>
      </c>
      <c r="K15" s="1" t="b">
        <v>0</v>
      </c>
      <c r="L15" s="1" t="s">
        <v>89</v>
      </c>
      <c r="M15" s="1">
        <v>15.0</v>
      </c>
      <c r="N15" s="1">
        <v>29.1</v>
      </c>
      <c r="O15" s="1">
        <v>16.6</v>
      </c>
      <c r="P15" s="1">
        <v>17.4</v>
      </c>
      <c r="Q15" s="1">
        <v>14.7</v>
      </c>
      <c r="R15" s="1">
        <v>7.1</v>
      </c>
      <c r="S15" s="1">
        <v>33.8</v>
      </c>
      <c r="T15" s="1">
        <v>20.3</v>
      </c>
      <c r="U15" s="1">
        <v>12.5</v>
      </c>
      <c r="V15" s="1">
        <v>17.2</v>
      </c>
      <c r="W15" s="1">
        <v>7.9</v>
      </c>
      <c r="X15" s="1">
        <v>3.9</v>
      </c>
      <c r="Y15" s="1" t="s">
        <v>73</v>
      </c>
      <c r="Z15" s="1">
        <v>5.26</v>
      </c>
      <c r="AA15" s="3">
        <v>3.0</v>
      </c>
      <c r="AB15" s="1">
        <v>3.4</v>
      </c>
      <c r="AC15" s="1">
        <v>17.4</v>
      </c>
      <c r="AD15" s="1">
        <v>21.8</v>
      </c>
      <c r="AE15" s="1">
        <v>27.2</v>
      </c>
      <c r="AF15" s="1">
        <v>34.0</v>
      </c>
      <c r="AG15" s="5">
        <f t="array" ref="AG15">XLOOKUP(A15, predicciones!G:G, predicciones!B:B, "No encontrado")</f>
        <v>63.47176155</v>
      </c>
      <c r="AH15" s="5">
        <f t="shared" si="1"/>
        <v>29.47176155</v>
      </c>
      <c r="AI15" s="6" t="str">
        <f t="array" ref="AI15">XLOOKUP(L15, Free_Streaming!L:L, Free_Streaming!A:A, "Sin servicio gratis")</f>
        <v>Sin servicio gratis</v>
      </c>
      <c r="AJ15" s="5">
        <f t="shared" si="2"/>
        <v>178.84</v>
      </c>
    </row>
    <row r="16">
      <c r="A16" s="1" t="s">
        <v>90</v>
      </c>
      <c r="B16" s="1" t="s">
        <v>56</v>
      </c>
      <c r="C16" s="1" t="s">
        <v>38</v>
      </c>
      <c r="D16" s="1" t="s">
        <v>91</v>
      </c>
      <c r="E16" s="2">
        <v>4.99</v>
      </c>
      <c r="F16" s="1">
        <v>49.99</v>
      </c>
      <c r="G16" s="1">
        <v>2015.0</v>
      </c>
      <c r="H16" s="1">
        <v>32.0</v>
      </c>
      <c r="I16" s="1" t="s">
        <v>40</v>
      </c>
      <c r="J16" s="1" t="s">
        <v>58</v>
      </c>
      <c r="K16" s="1" t="b">
        <v>0</v>
      </c>
      <c r="L16" s="1" t="s">
        <v>92</v>
      </c>
      <c r="M16" s="1">
        <v>12.9</v>
      </c>
      <c r="N16" s="1">
        <v>28.8</v>
      </c>
      <c r="O16" s="1">
        <v>24.5</v>
      </c>
      <c r="P16" s="1">
        <v>18.3</v>
      </c>
      <c r="Q16" s="1">
        <v>6.0</v>
      </c>
      <c r="R16" s="1">
        <v>8.7</v>
      </c>
      <c r="S16" s="1">
        <v>38.6</v>
      </c>
      <c r="T16" s="1">
        <v>20.3</v>
      </c>
      <c r="U16" s="1">
        <v>13.3</v>
      </c>
      <c r="V16" s="1">
        <v>15.4</v>
      </c>
      <c r="W16" s="1">
        <v>7.7</v>
      </c>
      <c r="X16" s="1">
        <v>5.4</v>
      </c>
      <c r="Y16" s="1" t="s">
        <v>73</v>
      </c>
      <c r="Z16" s="1">
        <v>5.37</v>
      </c>
      <c r="AA16" s="3">
        <v>2.7</v>
      </c>
      <c r="AB16" s="1">
        <v>18.3</v>
      </c>
      <c r="AC16" s="1">
        <v>21.0</v>
      </c>
      <c r="AD16" s="1">
        <v>24.2</v>
      </c>
      <c r="AE16" s="1">
        <v>27.8</v>
      </c>
      <c r="AF16" s="1">
        <v>32.0</v>
      </c>
      <c r="AG16" s="5">
        <f t="array" ref="AG16">XLOOKUP(A16, predicciones!G:G, predicciones!B:B, "No encontrado")</f>
        <v>48.96216617</v>
      </c>
      <c r="AH16" s="5">
        <f t="shared" si="1"/>
        <v>16.96216617</v>
      </c>
      <c r="AI16" s="6" t="str">
        <f t="array" ref="AI16">XLOOKUP(L16, Free_Streaming!L:L, Free_Streaming!A:A, "Sin servicio gratis")</f>
        <v>Sin servicio gratis</v>
      </c>
      <c r="AJ16" s="5">
        <f t="shared" si="2"/>
        <v>171.84</v>
      </c>
    </row>
    <row r="17">
      <c r="A17" s="1" t="s">
        <v>93</v>
      </c>
      <c r="B17" s="1" t="s">
        <v>94</v>
      </c>
      <c r="C17" s="1" t="s">
        <v>38</v>
      </c>
      <c r="D17" s="1" t="s">
        <v>95</v>
      </c>
      <c r="E17" s="2">
        <v>10.99</v>
      </c>
      <c r="F17" s="1">
        <v>109.99</v>
      </c>
      <c r="G17" s="1">
        <v>2018.0</v>
      </c>
      <c r="H17" s="1">
        <v>28.5</v>
      </c>
      <c r="I17" s="1" t="s">
        <v>96</v>
      </c>
      <c r="J17" s="1" t="s">
        <v>41</v>
      </c>
      <c r="K17" s="1" t="b">
        <v>0</v>
      </c>
      <c r="L17" s="1" t="s">
        <v>50</v>
      </c>
      <c r="M17" s="1">
        <v>9.6</v>
      </c>
      <c r="N17" s="1">
        <v>30.1</v>
      </c>
      <c r="O17" s="1">
        <v>18.0</v>
      </c>
      <c r="P17" s="1">
        <v>15.8</v>
      </c>
      <c r="Q17" s="1">
        <v>6.7</v>
      </c>
      <c r="R17" s="1">
        <v>4.5</v>
      </c>
      <c r="S17" s="1">
        <v>40.2</v>
      </c>
      <c r="T17" s="1">
        <v>24.0</v>
      </c>
      <c r="U17" s="1">
        <v>20.9</v>
      </c>
      <c r="V17" s="1">
        <v>7.6</v>
      </c>
      <c r="W17" s="1">
        <v>6.0</v>
      </c>
      <c r="X17" s="1">
        <v>6.8</v>
      </c>
      <c r="Y17" s="1" t="s">
        <v>73</v>
      </c>
      <c r="Z17" s="1">
        <v>11.26</v>
      </c>
      <c r="AA17" s="3">
        <v>2.7</v>
      </c>
      <c r="AB17" s="1">
        <v>11.7</v>
      </c>
      <c r="AC17" s="1">
        <v>14.6</v>
      </c>
      <c r="AD17" s="1">
        <v>18.2</v>
      </c>
      <c r="AE17" s="1">
        <v>24.8</v>
      </c>
      <c r="AF17" s="1">
        <v>28.5</v>
      </c>
      <c r="AG17" s="5">
        <f t="array" ref="AG17">XLOOKUP(A17, predicciones!G:G, predicciones!B:B, "No encontrado")</f>
        <v>47.28075179</v>
      </c>
      <c r="AH17" s="5">
        <f t="shared" si="1"/>
        <v>18.78075179</v>
      </c>
      <c r="AI17" s="6" t="str">
        <f t="array" ref="AI17">XLOOKUP(L17, Free_Streaming!L:L, Free_Streaming!A:A, "Sin servicio gratis")</f>
        <v>Disney Channel App</v>
      </c>
      <c r="AJ17" s="5">
        <f t="shared" si="2"/>
        <v>320.91</v>
      </c>
    </row>
    <row r="18">
      <c r="A18" s="1" t="s">
        <v>97</v>
      </c>
      <c r="B18" s="1" t="s">
        <v>56</v>
      </c>
      <c r="C18" s="1" t="s">
        <v>38</v>
      </c>
      <c r="D18" s="1" t="s">
        <v>95</v>
      </c>
      <c r="E18" s="2">
        <v>10.99</v>
      </c>
      <c r="F18" s="1">
        <v>109.99</v>
      </c>
      <c r="G18" s="1">
        <v>1976.0</v>
      </c>
      <c r="H18" s="1">
        <v>28.0</v>
      </c>
      <c r="I18" s="1" t="s">
        <v>98</v>
      </c>
      <c r="J18" s="1" t="s">
        <v>58</v>
      </c>
      <c r="K18" s="1" t="b">
        <v>0</v>
      </c>
      <c r="L18" s="1" t="s">
        <v>80</v>
      </c>
      <c r="M18" s="1">
        <v>20.4</v>
      </c>
      <c r="N18" s="1">
        <v>29.1</v>
      </c>
      <c r="O18" s="1">
        <v>18.7</v>
      </c>
      <c r="P18" s="1">
        <v>17.1</v>
      </c>
      <c r="Q18" s="1">
        <v>9.0</v>
      </c>
      <c r="R18" s="1">
        <v>6.9</v>
      </c>
      <c r="S18" s="1">
        <v>38.1</v>
      </c>
      <c r="T18" s="1">
        <v>25.4</v>
      </c>
      <c r="U18" s="1">
        <v>16.9</v>
      </c>
      <c r="V18" s="1">
        <v>15.7</v>
      </c>
      <c r="W18" s="1">
        <v>4.2</v>
      </c>
      <c r="X18" s="1">
        <v>3.9</v>
      </c>
      <c r="Y18" s="1" t="s">
        <v>73</v>
      </c>
      <c r="Z18" s="1">
        <v>9.96</v>
      </c>
      <c r="AA18" s="3">
        <v>2.4</v>
      </c>
      <c r="AB18" s="1">
        <v>20.6</v>
      </c>
      <c r="AC18" s="1">
        <v>22.2</v>
      </c>
      <c r="AD18" s="1">
        <v>24.0</v>
      </c>
      <c r="AE18" s="1">
        <v>25.9</v>
      </c>
      <c r="AF18" s="1">
        <v>28.0</v>
      </c>
      <c r="AG18" s="5">
        <f t="array" ref="AG18">XLOOKUP(A18, predicciones!G:G, predicciones!B:B, "No encontrado")</f>
        <v>42.86846213</v>
      </c>
      <c r="AH18" s="5">
        <f t="shared" si="1"/>
        <v>14.86846213</v>
      </c>
      <c r="AI18" s="6" t="str">
        <f t="array" ref="AI18">XLOOKUP(L18, Free_Streaming!L:L, Free_Streaming!A:A, "Sin servicio gratis")</f>
        <v>Pluto TV</v>
      </c>
      <c r="AJ18" s="5">
        <f t="shared" si="2"/>
        <v>278.88</v>
      </c>
    </row>
    <row r="19">
      <c r="A19" s="1" t="s">
        <v>99</v>
      </c>
      <c r="B19" s="1" t="s">
        <v>100</v>
      </c>
      <c r="C19" s="1" t="s">
        <v>38</v>
      </c>
      <c r="D19" s="1" t="s">
        <v>101</v>
      </c>
      <c r="E19" s="2">
        <v>2.99</v>
      </c>
      <c r="F19" s="1">
        <v>29.99</v>
      </c>
      <c r="G19" s="1">
        <v>2015.0</v>
      </c>
      <c r="H19" s="1">
        <v>26.0</v>
      </c>
      <c r="I19" s="1" t="s">
        <v>102</v>
      </c>
      <c r="J19" s="1" t="s">
        <v>58</v>
      </c>
      <c r="K19" s="1" t="b">
        <v>0</v>
      </c>
      <c r="L19" s="1" t="s">
        <v>103</v>
      </c>
      <c r="M19" s="1">
        <v>13.3</v>
      </c>
      <c r="N19" s="1">
        <v>28.4</v>
      </c>
      <c r="O19" s="1">
        <v>24.6</v>
      </c>
      <c r="P19" s="1">
        <v>19.1</v>
      </c>
      <c r="Q19" s="1">
        <v>13.1</v>
      </c>
      <c r="R19" s="1">
        <v>3.5</v>
      </c>
      <c r="S19" s="1">
        <v>32.6</v>
      </c>
      <c r="T19" s="1">
        <v>31.2</v>
      </c>
      <c r="U19" s="1">
        <v>17.7</v>
      </c>
      <c r="V19" s="1">
        <v>7.5</v>
      </c>
      <c r="W19" s="1">
        <v>9.7</v>
      </c>
      <c r="X19" s="1">
        <v>4.2</v>
      </c>
      <c r="Y19" s="1" t="s">
        <v>73</v>
      </c>
      <c r="Z19" s="1">
        <v>2.71</v>
      </c>
      <c r="AA19" s="3">
        <v>2.7</v>
      </c>
      <c r="AB19" s="1">
        <v>14.9</v>
      </c>
      <c r="AC19" s="1">
        <v>17.1</v>
      </c>
      <c r="AD19" s="1">
        <v>19.7</v>
      </c>
      <c r="AE19" s="1">
        <v>22.6</v>
      </c>
      <c r="AF19" s="1">
        <v>26.0</v>
      </c>
      <c r="AG19" s="5">
        <f t="array" ref="AG19">XLOOKUP(A19, predicciones!G:G, predicciones!B:B, "No encontrado")</f>
        <v>39.78176001</v>
      </c>
      <c r="AH19" s="5">
        <f t="shared" si="1"/>
        <v>13.78176001</v>
      </c>
      <c r="AI19" s="6" t="str">
        <f t="array" ref="AI19">XLOOKUP(L19, Free_Streaming!L:L, Free_Streaming!A:A, "Sin servicio gratis")</f>
        <v>Sin servicio gratis</v>
      </c>
      <c r="AJ19" s="5">
        <f t="shared" si="2"/>
        <v>70.46</v>
      </c>
    </row>
    <row r="20">
      <c r="A20" s="1" t="s">
        <v>104</v>
      </c>
      <c r="B20" s="1" t="s">
        <v>37</v>
      </c>
      <c r="C20" s="1" t="s">
        <v>38</v>
      </c>
      <c r="D20" s="1" t="s">
        <v>48</v>
      </c>
      <c r="E20" s="2">
        <v>9.99</v>
      </c>
      <c r="F20" s="1">
        <v>99.99</v>
      </c>
      <c r="G20" s="1">
        <v>2019.0</v>
      </c>
      <c r="H20" s="1">
        <v>25.0</v>
      </c>
      <c r="I20" s="1" t="s">
        <v>40</v>
      </c>
      <c r="J20" s="1" t="s">
        <v>41</v>
      </c>
      <c r="K20" s="1" t="b">
        <v>0</v>
      </c>
      <c r="L20" s="1" t="s">
        <v>105</v>
      </c>
      <c r="M20" s="1">
        <v>13.6</v>
      </c>
      <c r="N20" s="1">
        <v>33.9</v>
      </c>
      <c r="O20" s="1">
        <v>19.1</v>
      </c>
      <c r="P20" s="1">
        <v>10.8</v>
      </c>
      <c r="Q20" s="1">
        <v>6.9</v>
      </c>
      <c r="R20" s="1">
        <v>5.1</v>
      </c>
      <c r="S20" s="1">
        <v>38.1</v>
      </c>
      <c r="T20" s="1">
        <v>32.7</v>
      </c>
      <c r="U20" s="1">
        <v>17.1</v>
      </c>
      <c r="V20" s="1">
        <v>10.8</v>
      </c>
      <c r="W20" s="1">
        <v>3.4</v>
      </c>
      <c r="X20" s="1">
        <v>6.6</v>
      </c>
      <c r="Y20" s="1" t="s">
        <v>73</v>
      </c>
      <c r="Z20" s="1">
        <v>9.04</v>
      </c>
      <c r="AA20" s="3">
        <v>2.7</v>
      </c>
      <c r="AB20" s="1">
        <v>10.2</v>
      </c>
      <c r="AC20" s="1">
        <v>12.8</v>
      </c>
      <c r="AD20" s="1">
        <v>16.0</v>
      </c>
      <c r="AE20" s="1">
        <v>20.0</v>
      </c>
      <c r="AF20" s="1">
        <v>25.0</v>
      </c>
      <c r="AG20" s="5">
        <f t="array" ref="AG20">XLOOKUP(A20, predicciones!G:G, predicciones!B:B, "No encontrado")</f>
        <v>46.71213553</v>
      </c>
      <c r="AH20" s="5">
        <f t="shared" si="1"/>
        <v>21.71213553</v>
      </c>
      <c r="AI20" s="6" t="str">
        <f t="array" ref="AI20">XLOOKUP(L20, Free_Streaming!L:L, Free_Streaming!A:A, "Sin servicio gratis")</f>
        <v>Sin servicio gratis</v>
      </c>
      <c r="AJ20" s="5">
        <f t="shared" si="2"/>
        <v>226</v>
      </c>
    </row>
    <row r="21">
      <c r="A21" s="1" t="s">
        <v>106</v>
      </c>
      <c r="B21" s="1" t="s">
        <v>56</v>
      </c>
      <c r="C21" s="1" t="s">
        <v>38</v>
      </c>
      <c r="D21" s="1" t="s">
        <v>107</v>
      </c>
      <c r="E21" s="2">
        <v>4.99</v>
      </c>
      <c r="F21" s="1">
        <v>49.99</v>
      </c>
      <c r="G21" s="1">
        <v>2020.0</v>
      </c>
      <c r="H21" s="1">
        <v>25.0</v>
      </c>
      <c r="I21" s="1" t="s">
        <v>108</v>
      </c>
      <c r="J21" s="1" t="s">
        <v>58</v>
      </c>
      <c r="K21" s="1" t="b">
        <v>0</v>
      </c>
      <c r="L21" s="1" t="s">
        <v>54</v>
      </c>
      <c r="M21" s="1">
        <v>16.8</v>
      </c>
      <c r="N21" s="1">
        <v>28.3</v>
      </c>
      <c r="O21" s="1">
        <v>23.9</v>
      </c>
      <c r="P21" s="1">
        <v>24.7</v>
      </c>
      <c r="Q21" s="1">
        <v>11.9</v>
      </c>
      <c r="R21" s="1">
        <v>5.4</v>
      </c>
      <c r="S21" s="1">
        <v>38.1</v>
      </c>
      <c r="T21" s="1">
        <v>26.9</v>
      </c>
      <c r="U21" s="1">
        <v>18.8</v>
      </c>
      <c r="V21" s="1">
        <v>17.3</v>
      </c>
      <c r="W21" s="1">
        <v>4.1</v>
      </c>
      <c r="X21" s="1">
        <v>4.3</v>
      </c>
      <c r="Y21" s="1" t="s">
        <v>73</v>
      </c>
      <c r="Z21" s="1">
        <v>4.33</v>
      </c>
      <c r="AA21" s="3">
        <v>3.0</v>
      </c>
      <c r="AB21" s="1">
        <v>2.5</v>
      </c>
      <c r="AC21" s="1">
        <v>12.8</v>
      </c>
      <c r="AD21" s="1">
        <v>16.0</v>
      </c>
      <c r="AE21" s="1">
        <v>20.0</v>
      </c>
      <c r="AF21" s="1">
        <v>25.0</v>
      </c>
      <c r="AG21" s="5">
        <f t="array" ref="AG21">XLOOKUP(A21, predicciones!G:G, predicciones!B:B, "No encontrado")</f>
        <v>38.22798379</v>
      </c>
      <c r="AH21" s="5">
        <f t="shared" si="1"/>
        <v>13.22798379</v>
      </c>
      <c r="AI21" s="6" t="str">
        <f t="array" ref="AI21">XLOOKUP(L21, Free_Streaming!L:L, Free_Streaming!A:A, "Sin servicio gratis")</f>
        <v>Cartoon Network App</v>
      </c>
      <c r="AJ21" s="5">
        <f t="shared" si="2"/>
        <v>108.25</v>
      </c>
    </row>
    <row r="22">
      <c r="A22" s="1" t="s">
        <v>109</v>
      </c>
      <c r="B22" s="1" t="s">
        <v>56</v>
      </c>
      <c r="C22" s="1" t="s">
        <v>38</v>
      </c>
      <c r="D22" s="1" t="s">
        <v>61</v>
      </c>
      <c r="E22" s="2">
        <v>4.99</v>
      </c>
      <c r="F22" s="1">
        <v>49.99</v>
      </c>
      <c r="G22" s="1">
        <v>2013.0</v>
      </c>
      <c r="H22" s="1">
        <v>25.0</v>
      </c>
      <c r="I22" s="1" t="s">
        <v>110</v>
      </c>
      <c r="J22" s="1" t="s">
        <v>58</v>
      </c>
      <c r="K22" s="1" t="b">
        <v>0</v>
      </c>
      <c r="L22" s="1" t="s">
        <v>111</v>
      </c>
      <c r="M22" s="1">
        <v>21.9</v>
      </c>
      <c r="N22" s="1">
        <v>27.6</v>
      </c>
      <c r="O22" s="1">
        <v>19.8</v>
      </c>
      <c r="P22" s="1">
        <v>15.7</v>
      </c>
      <c r="Q22" s="1">
        <v>14.1</v>
      </c>
      <c r="R22" s="1">
        <v>3.1</v>
      </c>
      <c r="S22" s="1">
        <v>39.3</v>
      </c>
      <c r="T22" s="1">
        <v>28.7</v>
      </c>
      <c r="U22" s="1">
        <v>16.0</v>
      </c>
      <c r="V22" s="1">
        <v>8.0</v>
      </c>
      <c r="W22" s="1">
        <v>10.1</v>
      </c>
      <c r="X22" s="1">
        <v>6.3</v>
      </c>
      <c r="Y22" s="1" t="s">
        <v>73</v>
      </c>
      <c r="Z22" s="1">
        <v>5.12</v>
      </c>
      <c r="AA22" s="3">
        <v>2.4</v>
      </c>
      <c r="AB22" s="1">
        <v>14.3</v>
      </c>
      <c r="AC22" s="1">
        <v>16.4</v>
      </c>
      <c r="AD22" s="1">
        <v>18.9</v>
      </c>
      <c r="AE22" s="1">
        <v>23.1</v>
      </c>
      <c r="AF22" s="1">
        <v>25.0</v>
      </c>
      <c r="AG22" s="5">
        <f t="array" ref="AG22">XLOOKUP(A22, predicciones!G:G, predicciones!B:B, "No encontrado")</f>
        <v>38.27541261</v>
      </c>
      <c r="AH22" s="5">
        <f t="shared" si="1"/>
        <v>13.27541261</v>
      </c>
      <c r="AI22" s="6" t="str">
        <f t="array" ref="AI22">XLOOKUP(L22, Free_Streaming!L:L, Free_Streaming!A:A, "Sin servicio gratis")</f>
        <v>Sin servicio gratis</v>
      </c>
      <c r="AJ22" s="5">
        <f t="shared" si="2"/>
        <v>128</v>
      </c>
    </row>
    <row r="23">
      <c r="A23" s="1" t="s">
        <v>112</v>
      </c>
      <c r="B23" s="1" t="s">
        <v>94</v>
      </c>
      <c r="C23" s="1" t="s">
        <v>38</v>
      </c>
      <c r="D23" s="1" t="s">
        <v>45</v>
      </c>
      <c r="E23" s="2">
        <v>19.99</v>
      </c>
      <c r="F23" s="1">
        <v>199.99</v>
      </c>
      <c r="G23" s="1">
        <v>2016.0</v>
      </c>
      <c r="H23" s="1">
        <v>18.0</v>
      </c>
      <c r="I23" s="1" t="s">
        <v>113</v>
      </c>
      <c r="J23" s="1" t="s">
        <v>41</v>
      </c>
      <c r="K23" s="1" t="b">
        <v>0</v>
      </c>
      <c r="L23" s="1" t="s">
        <v>114</v>
      </c>
      <c r="M23" s="1">
        <v>21.8</v>
      </c>
      <c r="N23" s="1">
        <v>27.9</v>
      </c>
      <c r="O23" s="1">
        <v>21.3</v>
      </c>
      <c r="P23" s="1">
        <v>14.9</v>
      </c>
      <c r="Q23" s="1">
        <v>16.8</v>
      </c>
      <c r="R23" s="1">
        <v>10.5</v>
      </c>
      <c r="S23" s="1">
        <v>37.7</v>
      </c>
      <c r="T23" s="1">
        <v>18.8</v>
      </c>
      <c r="U23" s="1">
        <v>12.5</v>
      </c>
      <c r="V23" s="1">
        <v>8.3</v>
      </c>
      <c r="W23" s="1">
        <v>4.1</v>
      </c>
      <c r="X23" s="1">
        <v>3.9</v>
      </c>
      <c r="Y23" s="1" t="s">
        <v>115</v>
      </c>
      <c r="Z23" s="1">
        <v>22.03</v>
      </c>
      <c r="AA23" s="3">
        <v>2.7</v>
      </c>
      <c r="AB23" s="1">
        <v>7.4</v>
      </c>
      <c r="AC23" s="1">
        <v>11.8</v>
      </c>
      <c r="AD23" s="1">
        <v>13.6</v>
      </c>
      <c r="AE23" s="1">
        <v>15.7</v>
      </c>
      <c r="AF23" s="1">
        <v>18.0</v>
      </c>
      <c r="AG23" s="5">
        <f t="array" ref="AG23">XLOOKUP(A23, predicciones!G:G, predicciones!B:B, "No encontrado")</f>
        <v>31.49339389</v>
      </c>
      <c r="AH23" s="5">
        <f t="shared" si="1"/>
        <v>13.49339389</v>
      </c>
      <c r="AI23" s="6" t="str">
        <f t="array" ref="AI23">XLOOKUP(L23, Free_Streaming!L:L, Free_Streaming!A:A, "Sin servicio gratis")</f>
        <v>Sin servicio gratis</v>
      </c>
      <c r="AJ23" s="5">
        <f t="shared" si="2"/>
        <v>396.54</v>
      </c>
    </row>
    <row r="24">
      <c r="A24" s="1" t="s">
        <v>116</v>
      </c>
      <c r="B24" s="1" t="s">
        <v>100</v>
      </c>
      <c r="C24" s="1" t="s">
        <v>38</v>
      </c>
      <c r="D24" s="1" t="s">
        <v>45</v>
      </c>
      <c r="E24" s="2">
        <v>7.99</v>
      </c>
      <c r="F24" s="1">
        <v>79.99</v>
      </c>
      <c r="G24" s="1">
        <v>2006.0</v>
      </c>
      <c r="H24" s="1">
        <v>18.0</v>
      </c>
      <c r="I24" s="1" t="s">
        <v>117</v>
      </c>
      <c r="J24" s="1" t="s">
        <v>41</v>
      </c>
      <c r="K24" s="1" t="b">
        <v>0</v>
      </c>
      <c r="L24" s="1" t="s">
        <v>118</v>
      </c>
      <c r="M24" s="1">
        <v>10.4</v>
      </c>
      <c r="N24" s="1">
        <v>31.8</v>
      </c>
      <c r="O24" s="1">
        <v>24.7</v>
      </c>
      <c r="P24" s="1">
        <v>19.5</v>
      </c>
      <c r="Q24" s="1">
        <v>5.7</v>
      </c>
      <c r="R24" s="1">
        <v>7.2</v>
      </c>
      <c r="S24" s="1">
        <v>32.8</v>
      </c>
      <c r="T24" s="1">
        <v>23.3</v>
      </c>
      <c r="U24" s="1">
        <v>16.7</v>
      </c>
      <c r="V24" s="1">
        <v>12.2</v>
      </c>
      <c r="W24" s="1">
        <v>9.6</v>
      </c>
      <c r="X24" s="1">
        <v>5.1</v>
      </c>
      <c r="Y24" s="1" t="s">
        <v>115</v>
      </c>
      <c r="Z24" s="1">
        <v>6.83</v>
      </c>
      <c r="AA24" s="3">
        <v>2.4</v>
      </c>
      <c r="AB24" s="1">
        <v>13.2</v>
      </c>
      <c r="AC24" s="1">
        <v>14.3</v>
      </c>
      <c r="AD24" s="1">
        <v>15.4</v>
      </c>
      <c r="AE24" s="1">
        <v>16.7</v>
      </c>
      <c r="AF24" s="1">
        <v>18.0</v>
      </c>
      <c r="AG24" s="5">
        <f t="array" ref="AG24">XLOOKUP(A24, predicciones!G:G, predicciones!B:B, "No encontrado")</f>
        <v>28.83140182</v>
      </c>
      <c r="AH24" s="5">
        <f t="shared" si="1"/>
        <v>10.83140182</v>
      </c>
      <c r="AI24" s="6" t="str">
        <f t="array" ref="AI24">XLOOKUP(L24, Free_Streaming!L:L, Free_Streaming!A:A, "Sin servicio gratis")</f>
        <v>Sin servicio gratis</v>
      </c>
      <c r="AJ24" s="5">
        <f t="shared" si="2"/>
        <v>122.94</v>
      </c>
    </row>
    <row r="25">
      <c r="A25" s="1" t="s">
        <v>119</v>
      </c>
      <c r="B25" s="1" t="s">
        <v>56</v>
      </c>
      <c r="C25" s="1" t="s">
        <v>38</v>
      </c>
      <c r="D25" s="1" t="s">
        <v>120</v>
      </c>
      <c r="E25" s="2">
        <v>9.99</v>
      </c>
      <c r="F25" s="1">
        <v>99.99</v>
      </c>
      <c r="G25" s="1">
        <v>1994.0</v>
      </c>
      <c r="H25" s="1">
        <v>15.0</v>
      </c>
      <c r="I25" s="1" t="s">
        <v>121</v>
      </c>
      <c r="J25" s="1" t="s">
        <v>58</v>
      </c>
      <c r="K25" s="1" t="b">
        <v>0</v>
      </c>
      <c r="L25" s="1" t="s">
        <v>122</v>
      </c>
      <c r="M25" s="1">
        <v>13.3</v>
      </c>
      <c r="N25" s="1">
        <v>27.2</v>
      </c>
      <c r="O25" s="1">
        <v>19.1</v>
      </c>
      <c r="P25" s="1">
        <v>16.0</v>
      </c>
      <c r="Q25" s="1">
        <v>12.0</v>
      </c>
      <c r="R25" s="1">
        <v>3.1</v>
      </c>
      <c r="S25" s="1">
        <v>33.8</v>
      </c>
      <c r="T25" s="1">
        <v>25.5</v>
      </c>
      <c r="U25" s="1">
        <v>17.6</v>
      </c>
      <c r="V25" s="1">
        <v>15.7</v>
      </c>
      <c r="W25" s="1">
        <v>6.0</v>
      </c>
      <c r="X25" s="1">
        <v>2.9</v>
      </c>
      <c r="Y25" s="1" t="s">
        <v>115</v>
      </c>
      <c r="Z25" s="1">
        <v>8.64</v>
      </c>
      <c r="AA25" s="3">
        <v>2.4</v>
      </c>
      <c r="AB25" s="1">
        <v>11.0</v>
      </c>
      <c r="AC25" s="1">
        <v>11.9</v>
      </c>
      <c r="AD25" s="1">
        <v>12.9</v>
      </c>
      <c r="AE25" s="1">
        <v>13.9</v>
      </c>
      <c r="AF25" s="1">
        <v>15.0</v>
      </c>
      <c r="AG25" s="5">
        <f t="array" ref="AG25">XLOOKUP(A25, predicciones!G:G, predicciones!B:B, "No encontrado")</f>
        <v>24.02616818</v>
      </c>
      <c r="AH25" s="5">
        <f t="shared" si="1"/>
        <v>9.026168183</v>
      </c>
      <c r="AI25" s="6" t="str">
        <f t="array" ref="AI25">XLOOKUP(L25, Free_Streaming!L:L, Free_Streaming!A:A, "Sin servicio gratis")</f>
        <v>Sin servicio gratis</v>
      </c>
      <c r="AJ25" s="5">
        <f t="shared" si="2"/>
        <v>129.6</v>
      </c>
    </row>
    <row r="26">
      <c r="A26" s="1" t="s">
        <v>123</v>
      </c>
      <c r="B26" s="1" t="s">
        <v>56</v>
      </c>
      <c r="C26" s="1" t="s">
        <v>38</v>
      </c>
      <c r="D26" s="1" t="s">
        <v>124</v>
      </c>
      <c r="E26" s="2">
        <v>4.99</v>
      </c>
      <c r="F26" s="1">
        <v>49.99</v>
      </c>
      <c r="G26" s="1">
        <v>2016.0</v>
      </c>
      <c r="H26" s="1">
        <v>15.0</v>
      </c>
      <c r="I26" s="1" t="s">
        <v>125</v>
      </c>
      <c r="J26" s="1" t="s">
        <v>58</v>
      </c>
      <c r="K26" s="1" t="b">
        <v>0</v>
      </c>
      <c r="L26" s="1" t="s">
        <v>59</v>
      </c>
      <c r="M26" s="1">
        <v>15.1</v>
      </c>
      <c r="N26" s="1">
        <v>20.9</v>
      </c>
      <c r="O26" s="1">
        <v>19.8</v>
      </c>
      <c r="P26" s="1">
        <v>17.5</v>
      </c>
      <c r="Q26" s="1">
        <v>14.1</v>
      </c>
      <c r="R26" s="1">
        <v>4.5</v>
      </c>
      <c r="S26" s="1">
        <v>34.6</v>
      </c>
      <c r="T26" s="1">
        <v>24.3</v>
      </c>
      <c r="U26" s="1">
        <v>18.0</v>
      </c>
      <c r="V26" s="1">
        <v>10.0</v>
      </c>
      <c r="W26" s="1">
        <v>5.5</v>
      </c>
      <c r="X26" s="1">
        <v>5.9</v>
      </c>
      <c r="Y26" s="1" t="s">
        <v>115</v>
      </c>
      <c r="Z26" s="1">
        <v>5.1</v>
      </c>
      <c r="AA26" s="3">
        <v>2.7</v>
      </c>
      <c r="AB26" s="1">
        <v>6.1</v>
      </c>
      <c r="AC26" s="1">
        <v>9.9</v>
      </c>
      <c r="AD26" s="1">
        <v>11.3</v>
      </c>
      <c r="AE26" s="1">
        <v>13.0</v>
      </c>
      <c r="AF26" s="1">
        <v>15.0</v>
      </c>
      <c r="AG26" s="5">
        <f t="array" ref="AG26">XLOOKUP(A26, predicciones!G:G, predicciones!B:B, "No encontrado")</f>
        <v>24.00977329</v>
      </c>
      <c r="AH26" s="5">
        <f t="shared" si="1"/>
        <v>9.009773291</v>
      </c>
      <c r="AI26" s="6" t="str">
        <f t="array" ref="AI26">XLOOKUP(L26, Free_Streaming!L:L, Free_Streaming!A:A, "Sin servicio gratis")</f>
        <v>Sin servicio gratis</v>
      </c>
      <c r="AJ26" s="5">
        <f t="shared" si="2"/>
        <v>76.5</v>
      </c>
    </row>
    <row r="27">
      <c r="A27" s="1" t="s">
        <v>126</v>
      </c>
      <c r="B27" s="1" t="s">
        <v>56</v>
      </c>
      <c r="C27" s="1" t="s">
        <v>38</v>
      </c>
      <c r="D27" s="1" t="s">
        <v>124</v>
      </c>
      <c r="E27" s="2">
        <v>2.99</v>
      </c>
      <c r="F27" s="1">
        <v>29.99</v>
      </c>
      <c r="G27" s="1">
        <v>2018.0</v>
      </c>
      <c r="H27" s="1">
        <v>12.0</v>
      </c>
      <c r="I27" s="1" t="s">
        <v>125</v>
      </c>
      <c r="J27" s="1" t="s">
        <v>58</v>
      </c>
      <c r="K27" s="1" t="b">
        <v>0</v>
      </c>
      <c r="L27" s="1" t="s">
        <v>65</v>
      </c>
      <c r="M27" s="1">
        <v>23.4</v>
      </c>
      <c r="N27" s="1">
        <v>31.7</v>
      </c>
      <c r="O27" s="1">
        <v>28.2</v>
      </c>
      <c r="P27" s="1">
        <v>16.5</v>
      </c>
      <c r="Q27" s="1">
        <v>12.1</v>
      </c>
      <c r="R27" s="1">
        <v>6.3</v>
      </c>
      <c r="S27" s="1">
        <v>33.3</v>
      </c>
      <c r="T27" s="1">
        <v>23.5</v>
      </c>
      <c r="U27" s="1">
        <v>10.0</v>
      </c>
      <c r="V27" s="1">
        <v>14.4</v>
      </c>
      <c r="W27" s="1">
        <v>6.8</v>
      </c>
      <c r="X27" s="1">
        <v>6.9</v>
      </c>
      <c r="Y27" s="1" t="s">
        <v>115</v>
      </c>
      <c r="Z27" s="1">
        <v>3.28</v>
      </c>
      <c r="AA27" s="3">
        <v>2.7</v>
      </c>
      <c r="AB27" s="1">
        <v>4.9</v>
      </c>
      <c r="AC27" s="1">
        <v>6.1</v>
      </c>
      <c r="AD27" s="1">
        <v>7.7</v>
      </c>
      <c r="AE27" s="1">
        <v>10.4</v>
      </c>
      <c r="AF27" s="1">
        <v>12.0</v>
      </c>
      <c r="AG27" s="5">
        <f t="array" ref="AG27">XLOOKUP(A27, predicciones!G:G, predicciones!B:B, "No encontrado")</f>
        <v>19.20781863</v>
      </c>
      <c r="AH27" s="5">
        <f t="shared" si="1"/>
        <v>7.207818633</v>
      </c>
      <c r="AI27" s="6" t="str">
        <f t="array" ref="AI27">XLOOKUP(L27, Free_Streaming!L:L, Free_Streaming!A:A, "Sin servicio gratis")</f>
        <v>Sin servicio gratis</v>
      </c>
      <c r="AJ27" s="5">
        <f t="shared" si="2"/>
        <v>39.36</v>
      </c>
    </row>
    <row r="28">
      <c r="A28" s="1" t="s">
        <v>127</v>
      </c>
      <c r="B28" s="1" t="s">
        <v>100</v>
      </c>
      <c r="C28" s="1" t="s">
        <v>38</v>
      </c>
      <c r="D28" s="1" t="s">
        <v>39</v>
      </c>
      <c r="E28" s="2">
        <v>10.99</v>
      </c>
      <c r="F28" s="1">
        <v>109.99</v>
      </c>
      <c r="G28" s="1">
        <v>2007.0</v>
      </c>
      <c r="H28" s="1">
        <v>12.0</v>
      </c>
      <c r="I28" s="1" t="s">
        <v>128</v>
      </c>
      <c r="J28" s="1" t="s">
        <v>58</v>
      </c>
      <c r="K28" s="1" t="b">
        <v>0</v>
      </c>
      <c r="L28" s="1" t="s">
        <v>127</v>
      </c>
      <c r="M28" s="1">
        <v>18.3</v>
      </c>
      <c r="N28" s="1">
        <v>26.4</v>
      </c>
      <c r="O28" s="1">
        <v>21.0</v>
      </c>
      <c r="P28" s="1">
        <v>14.6</v>
      </c>
      <c r="Q28" s="1">
        <v>9.8</v>
      </c>
      <c r="R28" s="1">
        <v>6.9</v>
      </c>
      <c r="S28" s="1">
        <v>36.3</v>
      </c>
      <c r="T28" s="1">
        <v>23.0</v>
      </c>
      <c r="U28" s="1">
        <v>20.7</v>
      </c>
      <c r="V28" s="1">
        <v>14.1</v>
      </c>
      <c r="W28" s="1">
        <v>11.1</v>
      </c>
      <c r="X28" s="1">
        <v>6.4</v>
      </c>
      <c r="Y28" s="1" t="s">
        <v>115</v>
      </c>
      <c r="Z28" s="1">
        <v>10.42</v>
      </c>
      <c r="AA28" s="3">
        <v>2.4</v>
      </c>
      <c r="AB28" s="1">
        <v>8.8</v>
      </c>
      <c r="AC28" s="1">
        <v>9.5</v>
      </c>
      <c r="AD28" s="1">
        <v>10.3</v>
      </c>
      <c r="AE28" s="1">
        <v>11.1</v>
      </c>
      <c r="AF28" s="1">
        <v>12.0</v>
      </c>
      <c r="AG28" s="5">
        <f t="array" ref="AG28">XLOOKUP(A28, predicciones!G:G, predicciones!B:B, "No encontrado")</f>
        <v>19.22093455</v>
      </c>
      <c r="AH28" s="5">
        <f t="shared" si="1"/>
        <v>7.220934546</v>
      </c>
      <c r="AI28" s="6" t="str">
        <f t="array" ref="AI28">XLOOKUP(L28, Free_Streaming!L:L, Free_Streaming!A:A, "Sin servicio gratis")</f>
        <v>Sin servicio gratis</v>
      </c>
      <c r="AJ28" s="5">
        <f t="shared" si="2"/>
        <v>125.04</v>
      </c>
    </row>
    <row r="29">
      <c r="A29" s="1" t="s">
        <v>129</v>
      </c>
      <c r="B29" s="1" t="s">
        <v>56</v>
      </c>
      <c r="C29" s="1" t="s">
        <v>38</v>
      </c>
      <c r="D29" s="1" t="s">
        <v>130</v>
      </c>
      <c r="E29" s="2">
        <v>8.99</v>
      </c>
      <c r="F29" s="1">
        <v>89.99</v>
      </c>
      <c r="G29" s="1">
        <v>2020.0</v>
      </c>
      <c r="H29" s="1">
        <v>11.5</v>
      </c>
      <c r="I29" s="1" t="s">
        <v>131</v>
      </c>
      <c r="J29" s="1" t="s">
        <v>58</v>
      </c>
      <c r="K29" s="1" t="b">
        <v>0</v>
      </c>
      <c r="L29" s="1" t="s">
        <v>132</v>
      </c>
      <c r="M29" s="1">
        <v>19.3</v>
      </c>
      <c r="N29" s="1">
        <v>31.6</v>
      </c>
      <c r="O29" s="1">
        <v>14.4</v>
      </c>
      <c r="P29" s="1">
        <v>17.5</v>
      </c>
      <c r="Q29" s="1">
        <v>8.7</v>
      </c>
      <c r="R29" s="1">
        <v>5.5</v>
      </c>
      <c r="S29" s="1">
        <v>35.1</v>
      </c>
      <c r="T29" s="1">
        <v>27.2</v>
      </c>
      <c r="U29" s="1">
        <v>18.2</v>
      </c>
      <c r="V29" s="1">
        <v>16.3</v>
      </c>
      <c r="W29" s="1">
        <v>11.8</v>
      </c>
      <c r="X29" s="1">
        <v>3.9</v>
      </c>
      <c r="Y29" s="1" t="s">
        <v>115</v>
      </c>
      <c r="Z29" s="1">
        <v>8.58</v>
      </c>
      <c r="AA29" s="3">
        <v>3.0</v>
      </c>
      <c r="AB29" s="1">
        <v>1.2</v>
      </c>
      <c r="AC29" s="1">
        <v>5.9</v>
      </c>
      <c r="AD29" s="1">
        <v>7.4</v>
      </c>
      <c r="AE29" s="1">
        <v>9.2</v>
      </c>
      <c r="AF29" s="1">
        <v>11.5</v>
      </c>
      <c r="AG29" s="5">
        <f t="array" ref="AG29">XLOOKUP(A29, predicciones!G:G, predicciones!B:B, "No encontrado")</f>
        <v>18.3949303</v>
      </c>
      <c r="AH29" s="5">
        <f t="shared" si="1"/>
        <v>6.894930302</v>
      </c>
      <c r="AI29" s="6" t="str">
        <f t="array" ref="AI29">XLOOKUP(L29, Free_Streaming!L:L, Free_Streaming!A:A, "Sin servicio gratis")</f>
        <v>Sin servicio gratis</v>
      </c>
      <c r="AJ29" s="5">
        <f t="shared" si="2"/>
        <v>98.67</v>
      </c>
    </row>
    <row r="30">
      <c r="A30" s="1" t="s">
        <v>133</v>
      </c>
      <c r="B30" s="1" t="s">
        <v>56</v>
      </c>
      <c r="C30" s="1" t="s">
        <v>38</v>
      </c>
      <c r="D30" s="1" t="s">
        <v>134</v>
      </c>
      <c r="E30" s="2">
        <v>20.99</v>
      </c>
      <c r="F30" s="1">
        <v>209.99</v>
      </c>
      <c r="G30" s="1">
        <v>1984.0</v>
      </c>
      <c r="H30" s="1">
        <v>9.0</v>
      </c>
      <c r="I30" s="1" t="s">
        <v>135</v>
      </c>
      <c r="J30" s="1" t="s">
        <v>58</v>
      </c>
      <c r="K30" s="1" t="b">
        <v>0</v>
      </c>
      <c r="L30" s="1" t="s">
        <v>136</v>
      </c>
      <c r="M30" s="1">
        <v>10.0</v>
      </c>
      <c r="N30" s="1">
        <v>27.8</v>
      </c>
      <c r="O30" s="1">
        <v>19.9</v>
      </c>
      <c r="P30" s="1">
        <v>12.0</v>
      </c>
      <c r="Q30" s="1">
        <v>12.7</v>
      </c>
      <c r="R30" s="1">
        <v>5.5</v>
      </c>
      <c r="S30" s="1">
        <v>39.8</v>
      </c>
      <c r="T30" s="1">
        <v>23.1</v>
      </c>
      <c r="U30" s="1">
        <v>21.2</v>
      </c>
      <c r="V30" s="1">
        <v>14.5</v>
      </c>
      <c r="W30" s="1">
        <v>8.4</v>
      </c>
      <c r="X30" s="1">
        <v>3.5</v>
      </c>
      <c r="Y30" s="1" t="s">
        <v>115</v>
      </c>
      <c r="Z30" s="1">
        <v>21.6</v>
      </c>
      <c r="AA30" s="3">
        <v>2.4</v>
      </c>
      <c r="AB30" s="1">
        <v>6.6</v>
      </c>
      <c r="AC30" s="1">
        <v>7.1</v>
      </c>
      <c r="AD30" s="1">
        <v>7.7</v>
      </c>
      <c r="AE30" s="1">
        <v>8.3</v>
      </c>
      <c r="AF30" s="1">
        <v>9.0</v>
      </c>
      <c r="AG30" s="5">
        <f t="array" ref="AG30">XLOOKUP(A30, predicciones!G:G, predicciones!B:B, "No encontrado")</f>
        <v>14.41570091</v>
      </c>
      <c r="AH30" s="5">
        <f t="shared" si="1"/>
        <v>5.41570091</v>
      </c>
      <c r="AI30" s="6" t="str">
        <f t="array" ref="AI30">XLOOKUP(L30, Free_Streaming!L:L, Free_Streaming!A:A, "Sin servicio gratis")</f>
        <v>Sin servicio gratis</v>
      </c>
      <c r="AJ30" s="5">
        <f t="shared" si="2"/>
        <v>194.4</v>
      </c>
    </row>
    <row r="31">
      <c r="A31" s="1" t="s">
        <v>137</v>
      </c>
      <c r="B31" s="1" t="s">
        <v>138</v>
      </c>
      <c r="C31" s="1" t="s">
        <v>38</v>
      </c>
      <c r="D31" s="1" t="s">
        <v>95</v>
      </c>
      <c r="E31" s="2">
        <v>72.99</v>
      </c>
      <c r="F31" s="1">
        <v>729.99</v>
      </c>
      <c r="G31" s="1">
        <v>2017.0</v>
      </c>
      <c r="H31" s="1">
        <v>8.5</v>
      </c>
      <c r="I31" s="1" t="s">
        <v>139</v>
      </c>
      <c r="J31" s="1" t="s">
        <v>58</v>
      </c>
      <c r="K31" s="1" t="b">
        <v>0</v>
      </c>
      <c r="L31" s="1" t="s">
        <v>72</v>
      </c>
      <c r="M31" s="1">
        <v>18.9</v>
      </c>
      <c r="N31" s="1">
        <v>26.2</v>
      </c>
      <c r="O31" s="1">
        <v>18.5</v>
      </c>
      <c r="P31" s="1">
        <v>16.2</v>
      </c>
      <c r="Q31" s="1">
        <v>10.7</v>
      </c>
      <c r="R31" s="1">
        <v>7.4</v>
      </c>
      <c r="S31" s="1">
        <v>36.0</v>
      </c>
      <c r="T31" s="1">
        <v>25.9</v>
      </c>
      <c r="U31" s="1">
        <v>19.2</v>
      </c>
      <c r="V31" s="1">
        <v>8.5</v>
      </c>
      <c r="W31" s="1">
        <v>9.8</v>
      </c>
      <c r="X31" s="1">
        <v>2.8</v>
      </c>
      <c r="Y31" s="1" t="s">
        <v>115</v>
      </c>
      <c r="Z31" s="1">
        <v>68.05</v>
      </c>
      <c r="AA31" s="3">
        <v>2.7</v>
      </c>
      <c r="AB31" s="1">
        <v>3.5</v>
      </c>
      <c r="AC31" s="1">
        <v>4.4</v>
      </c>
      <c r="AD31" s="1">
        <v>6.4</v>
      </c>
      <c r="AE31" s="1">
        <v>7.4</v>
      </c>
      <c r="AF31" s="1">
        <v>8.5</v>
      </c>
      <c r="AG31" s="5">
        <f t="array" ref="AG31">XLOOKUP(A31, predicciones!G:G, predicciones!B:B, "No encontrado")</f>
        <v>12.42696698</v>
      </c>
      <c r="AH31" s="5">
        <f t="shared" si="1"/>
        <v>3.926966978</v>
      </c>
      <c r="AI31" s="6" t="str">
        <f t="array" ref="AI31">XLOOKUP(L31, Free_Streaming!L:L, Free_Streaming!A:A, "Sin servicio gratis")</f>
        <v>Sin servicio gratis</v>
      </c>
      <c r="AJ31" s="5">
        <f t="shared" si="2"/>
        <v>578.425</v>
      </c>
    </row>
    <row r="32">
      <c r="A32" s="1" t="s">
        <v>140</v>
      </c>
      <c r="B32" s="1" t="s">
        <v>56</v>
      </c>
      <c r="C32" s="1" t="s">
        <v>38</v>
      </c>
      <c r="D32" s="1" t="s">
        <v>141</v>
      </c>
      <c r="E32" s="2">
        <v>9.99</v>
      </c>
      <c r="F32" s="1">
        <v>99.99</v>
      </c>
      <c r="G32" s="1">
        <v>2007.0</v>
      </c>
      <c r="H32" s="1">
        <v>8.5</v>
      </c>
      <c r="I32" s="1" t="s">
        <v>110</v>
      </c>
      <c r="J32" s="1" t="s">
        <v>58</v>
      </c>
      <c r="K32" s="1" t="b">
        <v>0</v>
      </c>
      <c r="L32" s="1" t="s">
        <v>142</v>
      </c>
      <c r="M32" s="1">
        <v>13.5</v>
      </c>
      <c r="N32" s="1">
        <v>26.9</v>
      </c>
      <c r="O32" s="1">
        <v>19.5</v>
      </c>
      <c r="P32" s="1">
        <v>15.2</v>
      </c>
      <c r="Q32" s="1">
        <v>8.9</v>
      </c>
      <c r="R32" s="1">
        <v>4.5</v>
      </c>
      <c r="S32" s="1">
        <v>37.0</v>
      </c>
      <c r="T32" s="1">
        <v>26.4</v>
      </c>
      <c r="U32" s="1">
        <v>16.3</v>
      </c>
      <c r="V32" s="1">
        <v>15.9</v>
      </c>
      <c r="W32" s="1">
        <v>5.3</v>
      </c>
      <c r="X32" s="1">
        <v>3.8</v>
      </c>
      <c r="Y32" s="1" t="s">
        <v>115</v>
      </c>
      <c r="Z32" s="1">
        <v>8.57</v>
      </c>
      <c r="AA32" s="3">
        <v>2.4</v>
      </c>
      <c r="AB32" s="1">
        <v>6.2</v>
      </c>
      <c r="AC32" s="1">
        <v>6.7</v>
      </c>
      <c r="AD32" s="1">
        <v>7.3</v>
      </c>
      <c r="AE32" s="1">
        <v>7.9</v>
      </c>
      <c r="AF32" s="1">
        <v>8.5</v>
      </c>
      <c r="AG32" s="5">
        <f t="array" ref="AG32">XLOOKUP(A32, predicciones!G:G, predicciones!B:B, "No encontrado")</f>
        <v>13.61482864</v>
      </c>
      <c r="AH32" s="5">
        <f t="shared" si="1"/>
        <v>5.114828637</v>
      </c>
      <c r="AI32" s="6" t="str">
        <f t="array" ref="AI32">XLOOKUP(L32, Free_Streaming!L:L, Free_Streaming!A:A, "Sin servicio gratis")</f>
        <v>Sin servicio gratis</v>
      </c>
      <c r="AJ32" s="5">
        <f t="shared" si="2"/>
        <v>72.845</v>
      </c>
    </row>
    <row r="33">
      <c r="A33" s="1" t="s">
        <v>143</v>
      </c>
      <c r="B33" s="1" t="s">
        <v>94</v>
      </c>
      <c r="C33" s="1" t="s">
        <v>38</v>
      </c>
      <c r="D33" s="1" t="s">
        <v>95</v>
      </c>
      <c r="E33" s="2">
        <v>6.99</v>
      </c>
      <c r="F33" s="1">
        <v>69.99</v>
      </c>
      <c r="G33" s="1">
        <v>2022.0</v>
      </c>
      <c r="H33" s="1">
        <v>7.5</v>
      </c>
      <c r="I33" s="1" t="s">
        <v>144</v>
      </c>
      <c r="J33" s="1" t="s">
        <v>58</v>
      </c>
      <c r="K33" s="1" t="b">
        <v>0</v>
      </c>
      <c r="L33" s="1" t="s">
        <v>145</v>
      </c>
      <c r="M33" s="1">
        <v>21.5</v>
      </c>
      <c r="N33" s="1">
        <v>24.4</v>
      </c>
      <c r="O33" s="1">
        <v>22.8</v>
      </c>
      <c r="P33" s="1">
        <v>11.3</v>
      </c>
      <c r="Q33" s="1">
        <v>13.1</v>
      </c>
      <c r="R33" s="1">
        <v>8.1</v>
      </c>
      <c r="S33" s="1">
        <v>31.8</v>
      </c>
      <c r="T33" s="1">
        <v>25.4</v>
      </c>
      <c r="U33" s="1">
        <v>17.2</v>
      </c>
      <c r="V33" s="1">
        <v>15.7</v>
      </c>
      <c r="W33" s="1">
        <v>6.1</v>
      </c>
      <c r="X33" s="1">
        <v>1.6</v>
      </c>
      <c r="Y33" s="1" t="s">
        <v>115</v>
      </c>
      <c r="Z33" s="1">
        <v>7.48</v>
      </c>
      <c r="AA33" s="3">
        <v>3.0</v>
      </c>
      <c r="AB33" s="1">
        <v>0.0</v>
      </c>
      <c r="AC33" s="1">
        <v>0.0</v>
      </c>
      <c r="AD33" s="1">
        <v>0.8</v>
      </c>
      <c r="AE33" s="1">
        <v>6.0</v>
      </c>
      <c r="AF33" s="1">
        <v>7.5</v>
      </c>
      <c r="AG33" s="5">
        <f t="array" ref="AG33">XLOOKUP(A33, predicciones!G:G, predicciones!B:B, "No encontrado")</f>
        <v>13.11169092</v>
      </c>
      <c r="AH33" s="5">
        <f t="shared" si="1"/>
        <v>5.611690916</v>
      </c>
      <c r="AI33" s="6" t="str">
        <f t="array" ref="AI33">XLOOKUP(L33, Free_Streaming!L:L, Free_Streaming!A:A, "Sin servicio gratis")</f>
        <v>Sin servicio gratis</v>
      </c>
      <c r="AJ33" s="5">
        <f t="shared" si="2"/>
        <v>56.1</v>
      </c>
    </row>
    <row r="34">
      <c r="A34" s="1" t="s">
        <v>146</v>
      </c>
      <c r="B34" s="1" t="s">
        <v>56</v>
      </c>
      <c r="C34" s="1" t="s">
        <v>38</v>
      </c>
      <c r="D34" s="1" t="s">
        <v>147</v>
      </c>
      <c r="E34" s="2">
        <v>9.99</v>
      </c>
      <c r="F34" s="1">
        <v>99.99</v>
      </c>
      <c r="G34" s="1">
        <v>2014.0</v>
      </c>
      <c r="H34" s="1">
        <v>6.0</v>
      </c>
      <c r="I34" s="1" t="s">
        <v>40</v>
      </c>
      <c r="J34" s="1" t="s">
        <v>58</v>
      </c>
      <c r="K34" s="1" t="b">
        <v>0</v>
      </c>
      <c r="L34" s="1" t="s">
        <v>122</v>
      </c>
      <c r="M34" s="1">
        <v>21.3</v>
      </c>
      <c r="N34" s="1">
        <v>36.3</v>
      </c>
      <c r="O34" s="1">
        <v>28.4</v>
      </c>
      <c r="P34" s="1">
        <v>27.5</v>
      </c>
      <c r="Q34" s="1">
        <v>7.9</v>
      </c>
      <c r="R34" s="1">
        <v>3.2</v>
      </c>
      <c r="S34" s="1">
        <v>36.3</v>
      </c>
      <c r="T34" s="1">
        <v>20.2</v>
      </c>
      <c r="U34" s="1">
        <v>12.1</v>
      </c>
      <c r="V34" s="1">
        <v>7.7</v>
      </c>
      <c r="W34" s="1">
        <v>8.2</v>
      </c>
      <c r="X34" s="1">
        <v>4.4</v>
      </c>
      <c r="Y34" s="1" t="s">
        <v>115</v>
      </c>
      <c r="Z34" s="1">
        <v>10.37</v>
      </c>
      <c r="AA34" s="3">
        <v>2.4</v>
      </c>
      <c r="AB34" s="1">
        <v>3.4</v>
      </c>
      <c r="AC34" s="1">
        <v>3.9</v>
      </c>
      <c r="AD34" s="1">
        <v>4.5</v>
      </c>
      <c r="AE34" s="1">
        <v>5.2</v>
      </c>
      <c r="AF34" s="1">
        <v>6.0</v>
      </c>
      <c r="AG34" s="5">
        <f t="array" ref="AG34">XLOOKUP(A34, predicciones!G:G, predicciones!B:B, "No encontrado")</f>
        <v>9.610467273</v>
      </c>
      <c r="AH34" s="5">
        <f t="shared" si="1"/>
        <v>3.610467273</v>
      </c>
      <c r="AI34" s="6" t="str">
        <f t="array" ref="AI34">XLOOKUP(L34, Free_Streaming!L:L, Free_Streaming!A:A, "Sin servicio gratis")</f>
        <v>Sin servicio gratis</v>
      </c>
      <c r="AJ34" s="5">
        <f t="shared" si="2"/>
        <v>62.22</v>
      </c>
    </row>
    <row r="35">
      <c r="A35" s="1" t="s">
        <v>148</v>
      </c>
      <c r="B35" s="1" t="s">
        <v>94</v>
      </c>
      <c r="C35" s="1" t="s">
        <v>38</v>
      </c>
      <c r="D35" s="1" t="s">
        <v>149</v>
      </c>
      <c r="E35" s="2">
        <v>9.99</v>
      </c>
      <c r="F35" s="1">
        <v>99.99</v>
      </c>
      <c r="G35" s="1">
        <v>2012.0</v>
      </c>
      <c r="H35" s="1">
        <v>6.0</v>
      </c>
      <c r="I35" s="1" t="s">
        <v>113</v>
      </c>
      <c r="J35" s="1" t="s">
        <v>58</v>
      </c>
      <c r="K35" s="1" t="b">
        <v>0</v>
      </c>
      <c r="L35" s="1" t="s">
        <v>150</v>
      </c>
      <c r="M35" s="1">
        <v>21.7</v>
      </c>
      <c r="N35" s="1">
        <v>27.1</v>
      </c>
      <c r="O35" s="1">
        <v>27.1</v>
      </c>
      <c r="P35" s="1">
        <v>20.9</v>
      </c>
      <c r="Q35" s="1">
        <v>12.2</v>
      </c>
      <c r="R35" s="1">
        <v>5.8</v>
      </c>
      <c r="S35" s="1">
        <v>44.3</v>
      </c>
      <c r="T35" s="1">
        <v>24.8</v>
      </c>
      <c r="U35" s="1">
        <v>12.5</v>
      </c>
      <c r="V35" s="1">
        <v>15.9</v>
      </c>
      <c r="W35" s="1">
        <v>9.3</v>
      </c>
      <c r="X35" s="1">
        <v>7.6</v>
      </c>
      <c r="Y35" s="1" t="s">
        <v>115</v>
      </c>
      <c r="Z35" s="1">
        <v>10.23</v>
      </c>
      <c r="AA35" s="3">
        <v>2.4</v>
      </c>
      <c r="AB35" s="1">
        <v>3.4</v>
      </c>
      <c r="AC35" s="1">
        <v>3.9</v>
      </c>
      <c r="AD35" s="1">
        <v>5.1</v>
      </c>
      <c r="AE35" s="1">
        <v>5.6</v>
      </c>
      <c r="AF35" s="1">
        <v>6.0</v>
      </c>
      <c r="AG35" s="5">
        <f t="array" ref="AG35">XLOOKUP(A35, predicciones!G:G, predicciones!B:B, "No encontrado")</f>
        <v>10.50624863</v>
      </c>
      <c r="AH35" s="5">
        <f t="shared" si="1"/>
        <v>4.506248634</v>
      </c>
      <c r="AI35" s="6" t="str">
        <f t="array" ref="AI35">XLOOKUP(L35, Free_Streaming!L:L, Free_Streaming!A:A, "Sin servicio gratis")</f>
        <v>Sin servicio gratis</v>
      </c>
      <c r="AJ35" s="5">
        <f t="shared" si="2"/>
        <v>61.38</v>
      </c>
    </row>
    <row r="36">
      <c r="A36" s="1" t="s">
        <v>151</v>
      </c>
      <c r="B36" s="1" t="s">
        <v>56</v>
      </c>
      <c r="C36" s="1" t="s">
        <v>38</v>
      </c>
      <c r="D36" s="1" t="s">
        <v>152</v>
      </c>
      <c r="E36" s="2">
        <v>7.99</v>
      </c>
      <c r="F36" s="1">
        <v>79.99</v>
      </c>
      <c r="G36" s="1">
        <v>2019.0</v>
      </c>
      <c r="H36" s="1">
        <v>5.5</v>
      </c>
      <c r="I36" s="1" t="s">
        <v>153</v>
      </c>
      <c r="J36" s="1" t="s">
        <v>58</v>
      </c>
      <c r="K36" s="1" t="b">
        <v>0</v>
      </c>
      <c r="L36" s="1" t="s">
        <v>154</v>
      </c>
      <c r="M36" s="1">
        <v>22.0</v>
      </c>
      <c r="N36" s="1">
        <v>29.5</v>
      </c>
      <c r="O36" s="1">
        <v>23.4</v>
      </c>
      <c r="P36" s="1">
        <v>19.2</v>
      </c>
      <c r="Q36" s="1">
        <v>5.4</v>
      </c>
      <c r="R36" s="1">
        <v>3.1</v>
      </c>
      <c r="S36" s="1">
        <v>33.8</v>
      </c>
      <c r="T36" s="1">
        <v>26.3</v>
      </c>
      <c r="U36" s="1">
        <v>10.4</v>
      </c>
      <c r="V36" s="1">
        <v>10.6</v>
      </c>
      <c r="W36" s="1">
        <v>3.0</v>
      </c>
      <c r="X36" s="1">
        <v>7.3</v>
      </c>
      <c r="Y36" s="1" t="s">
        <v>115</v>
      </c>
      <c r="Z36" s="1">
        <v>8.57</v>
      </c>
      <c r="AA36" s="3">
        <v>2.7</v>
      </c>
      <c r="AB36" s="1">
        <v>2.3</v>
      </c>
      <c r="AC36" s="1">
        <v>2.8</v>
      </c>
      <c r="AD36" s="1">
        <v>3.5</v>
      </c>
      <c r="AE36" s="1">
        <v>4.4</v>
      </c>
      <c r="AF36" s="1">
        <v>5.5</v>
      </c>
      <c r="AG36" s="5">
        <f t="array" ref="AG36">XLOOKUP(A36, predicciones!G:G, predicciones!B:B, "No encontrado")</f>
        <v>8.80358354</v>
      </c>
      <c r="AH36" s="5">
        <f t="shared" si="1"/>
        <v>3.30358354</v>
      </c>
      <c r="AI36" s="6" t="str">
        <f t="array" ref="AI36">XLOOKUP(L36, Free_Streaming!L:L, Free_Streaming!A:A, "Sin servicio gratis")</f>
        <v>Sin servicio gratis</v>
      </c>
      <c r="AJ36" s="5">
        <f t="shared" si="2"/>
        <v>47.135</v>
      </c>
    </row>
    <row r="37">
      <c r="A37" s="1" t="s">
        <v>155</v>
      </c>
      <c r="B37" s="1" t="s">
        <v>56</v>
      </c>
      <c r="C37" s="1" t="s">
        <v>38</v>
      </c>
      <c r="D37" s="1" t="s">
        <v>61</v>
      </c>
      <c r="E37" s="2">
        <v>1.99</v>
      </c>
      <c r="F37" s="1">
        <v>19.99</v>
      </c>
      <c r="G37" s="1">
        <v>2017.0</v>
      </c>
      <c r="H37" s="1">
        <v>5.0</v>
      </c>
      <c r="I37" s="1" t="s">
        <v>156</v>
      </c>
      <c r="J37" s="1" t="s">
        <v>58</v>
      </c>
      <c r="K37" s="1" t="b">
        <v>0</v>
      </c>
      <c r="L37" s="1" t="s">
        <v>157</v>
      </c>
      <c r="M37" s="1">
        <v>17.0</v>
      </c>
      <c r="N37" s="1">
        <v>29.3</v>
      </c>
      <c r="O37" s="1">
        <v>22.6</v>
      </c>
      <c r="P37" s="1">
        <v>17.8</v>
      </c>
      <c r="Q37" s="1">
        <v>5.9</v>
      </c>
      <c r="R37" s="1">
        <v>9.4</v>
      </c>
      <c r="S37" s="1">
        <v>30.2</v>
      </c>
      <c r="T37" s="1">
        <v>22.9</v>
      </c>
      <c r="U37" s="1">
        <v>21.7</v>
      </c>
      <c r="V37" s="1">
        <v>11.8</v>
      </c>
      <c r="W37" s="1">
        <v>6.7</v>
      </c>
      <c r="X37" s="1">
        <v>5.2</v>
      </c>
      <c r="Y37" s="1" t="s">
        <v>115</v>
      </c>
      <c r="Z37" s="1">
        <v>2.09</v>
      </c>
      <c r="AA37" s="3">
        <v>2.7</v>
      </c>
      <c r="AB37" s="1">
        <v>2.0</v>
      </c>
      <c r="AC37" s="1">
        <v>2.6</v>
      </c>
      <c r="AD37" s="1">
        <v>3.8</v>
      </c>
      <c r="AE37" s="1">
        <v>4.3</v>
      </c>
      <c r="AF37" s="1">
        <v>5.0</v>
      </c>
      <c r="AG37" s="5">
        <f t="array" ref="AG37">XLOOKUP(A37, predicciones!G:G, predicciones!B:B, "No encontrado")</f>
        <v>8.003257764</v>
      </c>
      <c r="AH37" s="5">
        <f t="shared" si="1"/>
        <v>3.003257764</v>
      </c>
      <c r="AI37" s="6" t="str">
        <f t="array" ref="AI37">XLOOKUP(L37, Free_Streaming!L:L, Free_Streaming!A:A, "Sin servicio gratis")</f>
        <v>Sin servicio gratis</v>
      </c>
      <c r="AJ37" s="5">
        <f t="shared" si="2"/>
        <v>10.45</v>
      </c>
    </row>
    <row r="38">
      <c r="A38" s="1" t="s">
        <v>158</v>
      </c>
      <c r="B38" s="1" t="s">
        <v>138</v>
      </c>
      <c r="C38" s="1" t="s">
        <v>38</v>
      </c>
      <c r="D38" s="1" t="s">
        <v>95</v>
      </c>
      <c r="E38" s="2">
        <v>76.99</v>
      </c>
      <c r="F38" s="1">
        <v>769.99</v>
      </c>
      <c r="G38" s="1">
        <v>2017.0</v>
      </c>
      <c r="H38" s="1">
        <v>4.8</v>
      </c>
      <c r="I38" s="1" t="s">
        <v>159</v>
      </c>
      <c r="J38" s="1" t="s">
        <v>58</v>
      </c>
      <c r="K38" s="1" t="b">
        <v>0</v>
      </c>
      <c r="L38" s="1" t="s">
        <v>50</v>
      </c>
      <c r="M38" s="1">
        <v>12.3</v>
      </c>
      <c r="N38" s="1">
        <v>26.7</v>
      </c>
      <c r="O38" s="1">
        <v>21.8</v>
      </c>
      <c r="P38" s="1">
        <v>24.6</v>
      </c>
      <c r="Q38" s="1">
        <v>6.3</v>
      </c>
      <c r="R38" s="1">
        <v>8.0</v>
      </c>
      <c r="S38" s="1">
        <v>27.9</v>
      </c>
      <c r="T38" s="1">
        <v>25.7</v>
      </c>
      <c r="U38" s="1">
        <v>10.2</v>
      </c>
      <c r="V38" s="1">
        <v>12.7</v>
      </c>
      <c r="W38" s="1">
        <v>3.2</v>
      </c>
      <c r="X38" s="1">
        <v>2.5</v>
      </c>
      <c r="Y38" s="1" t="s">
        <v>115</v>
      </c>
      <c r="Z38" s="1">
        <v>70.2</v>
      </c>
      <c r="AA38" s="3">
        <v>2.7</v>
      </c>
      <c r="AB38" s="1">
        <v>2.0</v>
      </c>
      <c r="AC38" s="1">
        <v>2.5</v>
      </c>
      <c r="AD38" s="1">
        <v>3.6</v>
      </c>
      <c r="AE38" s="1">
        <v>4.2</v>
      </c>
      <c r="AF38" s="1">
        <v>4.8</v>
      </c>
      <c r="AG38" s="5">
        <f t="array" ref="AG38">XLOOKUP(A38, predicciones!G:G, predicciones!B:B, "No encontrado")</f>
        <v>7.017581352</v>
      </c>
      <c r="AH38" s="5">
        <f t="shared" si="1"/>
        <v>2.217581352</v>
      </c>
      <c r="AI38" s="6" t="str">
        <f t="array" ref="AI38">XLOOKUP(L38, Free_Streaming!L:L, Free_Streaming!A:A, "Sin servicio gratis")</f>
        <v>Disney Channel App</v>
      </c>
      <c r="AJ38" s="5">
        <f t="shared" si="2"/>
        <v>336.96</v>
      </c>
    </row>
    <row r="39">
      <c r="A39" s="1" t="s">
        <v>160</v>
      </c>
      <c r="B39" s="1" t="s">
        <v>56</v>
      </c>
      <c r="C39" s="1" t="s">
        <v>38</v>
      </c>
      <c r="D39" s="1" t="s">
        <v>161</v>
      </c>
      <c r="E39" s="2">
        <v>4.99</v>
      </c>
      <c r="F39" s="1">
        <v>49.99</v>
      </c>
      <c r="G39" s="1">
        <v>2020.0</v>
      </c>
      <c r="H39" s="1">
        <v>3.5</v>
      </c>
      <c r="I39" s="1" t="s">
        <v>108</v>
      </c>
      <c r="J39" s="1" t="s">
        <v>58</v>
      </c>
      <c r="K39" s="1" t="b">
        <v>0</v>
      </c>
      <c r="L39" s="1" t="s">
        <v>54</v>
      </c>
      <c r="M39" s="1">
        <v>10.9</v>
      </c>
      <c r="N39" s="1">
        <v>29.6</v>
      </c>
      <c r="O39" s="1">
        <v>27.7</v>
      </c>
      <c r="P39" s="1">
        <v>18.6</v>
      </c>
      <c r="Q39" s="1">
        <v>12.2</v>
      </c>
      <c r="R39" s="1">
        <v>5.5</v>
      </c>
      <c r="S39" s="1">
        <v>34.0</v>
      </c>
      <c r="T39" s="1">
        <v>28.0</v>
      </c>
      <c r="U39" s="1">
        <v>17.9</v>
      </c>
      <c r="V39" s="1">
        <v>16.8</v>
      </c>
      <c r="W39" s="1">
        <v>11.0</v>
      </c>
      <c r="X39" s="1">
        <v>6.1</v>
      </c>
      <c r="Y39" s="1" t="s">
        <v>115</v>
      </c>
      <c r="Z39" s="1">
        <v>4.77</v>
      </c>
      <c r="AA39" s="3">
        <v>3.0</v>
      </c>
      <c r="AB39" s="1">
        <v>0.4</v>
      </c>
      <c r="AC39" s="1">
        <v>1.8</v>
      </c>
      <c r="AD39" s="1">
        <v>2.2</v>
      </c>
      <c r="AE39" s="1">
        <v>2.8</v>
      </c>
      <c r="AF39" s="1">
        <v>3.5</v>
      </c>
      <c r="AG39" s="5">
        <f t="array" ref="AG39">XLOOKUP(A39, predicciones!G:G, predicciones!B:B, "No encontrado")</f>
        <v>5.598457048</v>
      </c>
      <c r="AH39" s="5">
        <f t="shared" si="1"/>
        <v>2.098457048</v>
      </c>
      <c r="AI39" s="6" t="str">
        <f t="array" ref="AI39">XLOOKUP(L39, Free_Streaming!L:L, Free_Streaming!A:A, "Sin servicio gratis")</f>
        <v>Cartoon Network App</v>
      </c>
      <c r="AJ39" s="5">
        <f t="shared" si="2"/>
        <v>16.695</v>
      </c>
    </row>
    <row r="40">
      <c r="A40" s="1" t="s">
        <v>162</v>
      </c>
      <c r="B40" s="1" t="s">
        <v>56</v>
      </c>
      <c r="C40" s="1" t="s">
        <v>38</v>
      </c>
      <c r="D40" s="1" t="s">
        <v>61</v>
      </c>
      <c r="E40" s="2">
        <v>2.99</v>
      </c>
      <c r="F40" s="1">
        <v>29.99</v>
      </c>
      <c r="G40" s="1">
        <v>2017.0</v>
      </c>
      <c r="H40" s="1">
        <v>3.5</v>
      </c>
      <c r="I40" s="1" t="s">
        <v>163</v>
      </c>
      <c r="J40" s="1" t="s">
        <v>58</v>
      </c>
      <c r="K40" s="1" t="b">
        <v>0</v>
      </c>
      <c r="L40" s="1" t="s">
        <v>164</v>
      </c>
      <c r="M40" s="1">
        <v>20.4</v>
      </c>
      <c r="N40" s="1">
        <v>32.3</v>
      </c>
      <c r="O40" s="1">
        <v>28.2</v>
      </c>
      <c r="P40" s="1">
        <v>12.8</v>
      </c>
      <c r="Q40" s="1">
        <v>12.1</v>
      </c>
      <c r="R40" s="1">
        <v>5.1</v>
      </c>
      <c r="S40" s="1">
        <v>34.8</v>
      </c>
      <c r="T40" s="1">
        <v>22.8</v>
      </c>
      <c r="U40" s="1">
        <v>12.7</v>
      </c>
      <c r="V40" s="1">
        <v>10.6</v>
      </c>
      <c r="W40" s="1">
        <v>6.4</v>
      </c>
      <c r="X40" s="1">
        <v>4.6</v>
      </c>
      <c r="Y40" s="1" t="s">
        <v>115</v>
      </c>
      <c r="Z40" s="1">
        <v>2.65</v>
      </c>
      <c r="AA40" s="3">
        <v>2.7</v>
      </c>
      <c r="AB40" s="1">
        <v>1.4</v>
      </c>
      <c r="AC40" s="1">
        <v>1.8</v>
      </c>
      <c r="AD40" s="1">
        <v>2.6</v>
      </c>
      <c r="AE40" s="1">
        <v>3.0</v>
      </c>
      <c r="AF40" s="1">
        <v>3.5</v>
      </c>
      <c r="AG40" s="5">
        <f t="array" ref="AG40">XLOOKUP(A40, predicciones!G:G, predicciones!B:B, "No encontrado")</f>
        <v>5.602280435</v>
      </c>
      <c r="AH40" s="5">
        <f t="shared" si="1"/>
        <v>2.102280435</v>
      </c>
      <c r="AI40" s="6" t="str">
        <f t="array" ref="AI40">XLOOKUP(L40, Free_Streaming!L:L, Free_Streaming!A:A, "Sin servicio gratis")</f>
        <v>Sin servicio gratis</v>
      </c>
      <c r="AJ40" s="5">
        <f t="shared" si="2"/>
        <v>9.275</v>
      </c>
    </row>
    <row r="41">
      <c r="A41" s="1" t="s">
        <v>165</v>
      </c>
      <c r="B41" s="1" t="s">
        <v>56</v>
      </c>
      <c r="C41" s="1" t="s">
        <v>38</v>
      </c>
      <c r="D41" s="1" t="s">
        <v>166</v>
      </c>
      <c r="E41" s="2">
        <v>9.99</v>
      </c>
      <c r="F41" s="1">
        <v>99.99</v>
      </c>
      <c r="G41" s="1">
        <v>2014.0</v>
      </c>
      <c r="H41" s="1">
        <v>3.2</v>
      </c>
      <c r="I41" s="1" t="s">
        <v>167</v>
      </c>
      <c r="J41" s="1" t="s">
        <v>58</v>
      </c>
      <c r="K41" s="1" t="b">
        <v>0</v>
      </c>
      <c r="L41" s="1" t="s">
        <v>168</v>
      </c>
      <c r="M41" s="1">
        <v>13.1</v>
      </c>
      <c r="N41" s="1">
        <v>23.6</v>
      </c>
      <c r="O41" s="1">
        <v>22.4</v>
      </c>
      <c r="P41" s="1">
        <v>18.6</v>
      </c>
      <c r="Q41" s="1">
        <v>5.8</v>
      </c>
      <c r="R41" s="1">
        <v>6.8</v>
      </c>
      <c r="S41" s="1">
        <v>30.2</v>
      </c>
      <c r="T41" s="1">
        <v>17.7</v>
      </c>
      <c r="U41" s="1">
        <v>21.2</v>
      </c>
      <c r="V41" s="1">
        <v>15.3</v>
      </c>
      <c r="W41" s="1">
        <v>9.1</v>
      </c>
      <c r="X41" s="1">
        <v>7.5</v>
      </c>
      <c r="Y41" s="1" t="s">
        <v>115</v>
      </c>
      <c r="Z41" s="1">
        <v>8.88</v>
      </c>
      <c r="AA41" s="3">
        <v>2.4</v>
      </c>
      <c r="AB41" s="1">
        <v>1.8</v>
      </c>
      <c r="AC41" s="1">
        <v>2.1</v>
      </c>
      <c r="AD41" s="1">
        <v>2.4</v>
      </c>
      <c r="AE41" s="1">
        <v>2.8</v>
      </c>
      <c r="AF41" s="1">
        <v>3.2</v>
      </c>
      <c r="AG41" s="5">
        <f t="array" ref="AG41">XLOOKUP(A41, predicciones!G:G, predicciones!B:B, "No encontrado")</f>
        <v>5.125582546</v>
      </c>
      <c r="AH41" s="5">
        <f t="shared" si="1"/>
        <v>1.925582546</v>
      </c>
      <c r="AI41" s="6" t="str">
        <f t="array" ref="AI41">XLOOKUP(L41, Free_Streaming!L:L, Free_Streaming!A:A, "Sin servicio gratis")</f>
        <v>Sin servicio gratis</v>
      </c>
      <c r="AJ41" s="5">
        <f t="shared" si="2"/>
        <v>28.416</v>
      </c>
    </row>
    <row r="42">
      <c r="A42" s="1" t="s">
        <v>169</v>
      </c>
      <c r="B42" s="1" t="s">
        <v>94</v>
      </c>
      <c r="C42" s="1" t="s">
        <v>38</v>
      </c>
      <c r="D42" s="1" t="s">
        <v>45</v>
      </c>
      <c r="E42" s="2">
        <v>14.99</v>
      </c>
      <c r="F42" s="1">
        <v>149.99</v>
      </c>
      <c r="G42" s="1">
        <v>2002.0</v>
      </c>
      <c r="H42" s="1">
        <v>3.2</v>
      </c>
      <c r="I42" s="1" t="s">
        <v>170</v>
      </c>
      <c r="J42" s="1" t="s">
        <v>58</v>
      </c>
      <c r="K42" s="1" t="b">
        <v>0</v>
      </c>
      <c r="L42" s="1" t="s">
        <v>171</v>
      </c>
      <c r="M42" s="1">
        <v>20.5</v>
      </c>
      <c r="N42" s="1">
        <v>29.4</v>
      </c>
      <c r="O42" s="1">
        <v>24.7</v>
      </c>
      <c r="P42" s="1">
        <v>22.2</v>
      </c>
      <c r="Q42" s="1">
        <v>9.6</v>
      </c>
      <c r="R42" s="1">
        <v>7.0</v>
      </c>
      <c r="S42" s="1">
        <v>38.8</v>
      </c>
      <c r="T42" s="1">
        <v>29.0</v>
      </c>
      <c r="U42" s="1">
        <v>9.7</v>
      </c>
      <c r="V42" s="1">
        <v>7.1</v>
      </c>
      <c r="W42" s="1">
        <v>2.8</v>
      </c>
      <c r="X42" s="1">
        <v>4.7</v>
      </c>
      <c r="Y42" s="1" t="s">
        <v>115</v>
      </c>
      <c r="Z42" s="1">
        <v>15.78</v>
      </c>
      <c r="AA42" s="3">
        <v>2.4</v>
      </c>
      <c r="AB42" s="1">
        <v>2.4</v>
      </c>
      <c r="AC42" s="1">
        <v>2.5</v>
      </c>
      <c r="AD42" s="1">
        <v>2.7</v>
      </c>
      <c r="AE42" s="1">
        <v>3.0</v>
      </c>
      <c r="AF42" s="1">
        <v>3.2</v>
      </c>
      <c r="AG42" s="5">
        <f t="array" ref="AG42">XLOOKUP(A42, predicciones!G:G, predicciones!B:B, "No encontrado")</f>
        <v>5.603332605</v>
      </c>
      <c r="AH42" s="5">
        <f t="shared" si="1"/>
        <v>2.403332605</v>
      </c>
      <c r="AI42" s="6" t="str">
        <f t="array" ref="AI42">XLOOKUP(L42, Free_Streaming!L:L, Free_Streaming!A:A, "Sin servicio gratis")</f>
        <v>Sin servicio gratis</v>
      </c>
      <c r="AJ42" s="5">
        <f t="shared" si="2"/>
        <v>50.496</v>
      </c>
    </row>
    <row r="43">
      <c r="A43" s="1" t="s">
        <v>172</v>
      </c>
      <c r="B43" s="1" t="s">
        <v>56</v>
      </c>
      <c r="C43" s="1" t="s">
        <v>38</v>
      </c>
      <c r="D43" s="1" t="s">
        <v>166</v>
      </c>
      <c r="E43" s="2">
        <v>19.99</v>
      </c>
      <c r="F43" s="1">
        <v>199.99</v>
      </c>
      <c r="G43" s="1">
        <v>2014.0</v>
      </c>
      <c r="H43" s="1">
        <v>3.2</v>
      </c>
      <c r="I43" s="1" t="s">
        <v>173</v>
      </c>
      <c r="J43" s="1" t="s">
        <v>58</v>
      </c>
      <c r="K43" s="1" t="b">
        <v>0</v>
      </c>
      <c r="L43" s="1" t="s">
        <v>168</v>
      </c>
      <c r="M43" s="1">
        <v>13.3</v>
      </c>
      <c r="N43" s="1">
        <v>29.8</v>
      </c>
      <c r="O43" s="1">
        <v>15.3</v>
      </c>
      <c r="P43" s="1">
        <v>18.6</v>
      </c>
      <c r="Q43" s="1">
        <v>13.7</v>
      </c>
      <c r="R43" s="1">
        <v>8.4</v>
      </c>
      <c r="S43" s="1">
        <v>36.9</v>
      </c>
      <c r="T43" s="1">
        <v>22.1</v>
      </c>
      <c r="U43" s="1">
        <v>22.0</v>
      </c>
      <c r="V43" s="1">
        <v>12.8</v>
      </c>
      <c r="W43" s="1">
        <v>6.0</v>
      </c>
      <c r="X43" s="1">
        <v>6.6</v>
      </c>
      <c r="Y43" s="1" t="s">
        <v>115</v>
      </c>
      <c r="Z43" s="1">
        <v>22.14</v>
      </c>
      <c r="AA43" s="3">
        <v>2.4</v>
      </c>
      <c r="AB43" s="1">
        <v>1.8</v>
      </c>
      <c r="AC43" s="1">
        <v>2.1</v>
      </c>
      <c r="AD43" s="1">
        <v>2.4</v>
      </c>
      <c r="AE43" s="1">
        <v>2.8</v>
      </c>
      <c r="AF43" s="1">
        <v>3.2</v>
      </c>
      <c r="AG43" s="5">
        <f t="array" ref="AG43">XLOOKUP(A43, predicciones!G:G, predicciones!B:B, "No encontrado")</f>
        <v>5.125582546</v>
      </c>
      <c r="AH43" s="5">
        <f t="shared" si="1"/>
        <v>1.925582546</v>
      </c>
      <c r="AI43" s="6" t="str">
        <f t="array" ref="AI43">XLOOKUP(L43, Free_Streaming!L:L, Free_Streaming!A:A, "Sin servicio gratis")</f>
        <v>Sin servicio gratis</v>
      </c>
      <c r="AJ43" s="5">
        <f t="shared" si="2"/>
        <v>70.848</v>
      </c>
    </row>
    <row r="44">
      <c r="A44" s="7" t="s">
        <v>174</v>
      </c>
      <c r="B44" s="1" t="s">
        <v>94</v>
      </c>
      <c r="C44" s="1" t="s">
        <v>38</v>
      </c>
      <c r="D44" s="1" t="s">
        <v>45</v>
      </c>
      <c r="E44" s="2">
        <v>24.99</v>
      </c>
      <c r="F44" s="1">
        <v>149.99</v>
      </c>
      <c r="G44" s="1">
        <v>2002.0</v>
      </c>
      <c r="H44" s="1">
        <v>2.8</v>
      </c>
      <c r="I44" s="1" t="s">
        <v>175</v>
      </c>
      <c r="J44" s="1" t="s">
        <v>58</v>
      </c>
      <c r="K44" s="1" t="b">
        <v>0</v>
      </c>
      <c r="L44" s="1" t="s">
        <v>176</v>
      </c>
      <c r="M44" s="1">
        <v>21.4</v>
      </c>
      <c r="N44" s="1">
        <v>22.0</v>
      </c>
      <c r="O44" s="1">
        <v>17.0</v>
      </c>
      <c r="P44" s="1">
        <v>17.3</v>
      </c>
      <c r="Q44" s="1">
        <v>12.5</v>
      </c>
      <c r="R44" s="1">
        <v>6.1</v>
      </c>
      <c r="S44" s="1">
        <v>34.5</v>
      </c>
      <c r="T44" s="1">
        <v>22.6</v>
      </c>
      <c r="U44" s="1">
        <v>17.0</v>
      </c>
      <c r="V44" s="1">
        <v>9.0</v>
      </c>
      <c r="W44" s="1">
        <v>9.2</v>
      </c>
      <c r="X44" s="1">
        <v>6.2</v>
      </c>
      <c r="Y44" s="1" t="s">
        <v>115</v>
      </c>
      <c r="Z44" s="1">
        <v>28.46</v>
      </c>
      <c r="AA44" s="3">
        <v>2.4</v>
      </c>
      <c r="AB44" s="1">
        <v>2.1</v>
      </c>
      <c r="AC44" s="1">
        <v>2.2</v>
      </c>
      <c r="AD44" s="1">
        <v>2.4</v>
      </c>
      <c r="AE44" s="1">
        <v>2.6</v>
      </c>
      <c r="AF44" s="1">
        <v>2.8</v>
      </c>
      <c r="AG44" s="5">
        <f t="array" ref="AG44">XLOOKUP(A44, predicciones!G:G, predicciones!B:B, "No encontrado")</f>
        <v>4.902916029</v>
      </c>
      <c r="AH44" s="5">
        <f t="shared" si="1"/>
        <v>2.102916029</v>
      </c>
      <c r="AI44" s="6" t="str">
        <f t="array" ref="AI44">XLOOKUP(L44, Free_Streaming!L:L, Free_Streaming!A:A, "Sin servicio gratis")</f>
        <v>Sin servicio gratis</v>
      </c>
      <c r="AJ44" s="5">
        <f t="shared" si="2"/>
        <v>79.688</v>
      </c>
    </row>
    <row r="45">
      <c r="A45" s="1" t="s">
        <v>177</v>
      </c>
      <c r="B45" s="1" t="s">
        <v>56</v>
      </c>
      <c r="C45" s="1" t="s">
        <v>38</v>
      </c>
      <c r="D45" s="1" t="s">
        <v>152</v>
      </c>
      <c r="E45" s="2">
        <v>7.99</v>
      </c>
      <c r="F45" s="1">
        <v>79.99</v>
      </c>
      <c r="G45" s="1">
        <v>2012.0</v>
      </c>
      <c r="H45" s="1">
        <v>2.8</v>
      </c>
      <c r="I45" s="1" t="s">
        <v>153</v>
      </c>
      <c r="J45" s="1" t="s">
        <v>58</v>
      </c>
      <c r="K45" s="1" t="b">
        <v>0</v>
      </c>
      <c r="L45" s="1" t="s">
        <v>177</v>
      </c>
      <c r="M45" s="1">
        <v>17.6</v>
      </c>
      <c r="N45" s="1">
        <v>36.3</v>
      </c>
      <c r="O45" s="1">
        <v>26.5</v>
      </c>
      <c r="P45" s="1">
        <v>18.9</v>
      </c>
      <c r="Q45" s="1">
        <v>13.0</v>
      </c>
      <c r="R45" s="1">
        <v>5.2</v>
      </c>
      <c r="S45" s="1">
        <v>27.6</v>
      </c>
      <c r="T45" s="1">
        <v>23.3</v>
      </c>
      <c r="U45" s="1">
        <v>12.0</v>
      </c>
      <c r="V45" s="1">
        <v>10.0</v>
      </c>
      <c r="W45" s="1">
        <v>8.8</v>
      </c>
      <c r="X45" s="1">
        <v>3.1</v>
      </c>
      <c r="Y45" s="1" t="s">
        <v>115</v>
      </c>
      <c r="Z45" s="1">
        <v>8.3</v>
      </c>
      <c r="AA45" s="3">
        <v>2.4</v>
      </c>
      <c r="AB45" s="1">
        <v>1.6</v>
      </c>
      <c r="AC45" s="1">
        <v>1.8</v>
      </c>
      <c r="AD45" s="1">
        <v>2.4</v>
      </c>
      <c r="AE45" s="1">
        <v>2.6</v>
      </c>
      <c r="AF45" s="1">
        <v>2.8</v>
      </c>
      <c r="AG45" s="5">
        <f t="array" ref="AG45">XLOOKUP(A45, predicciones!G:G, predicciones!B:B, "No encontrado")</f>
        <v>4.484884727</v>
      </c>
      <c r="AH45" s="5">
        <f t="shared" si="1"/>
        <v>1.684884727</v>
      </c>
      <c r="AI45" s="6" t="str">
        <f t="array" ref="AI45">XLOOKUP(L45, Free_Streaming!L:L, Free_Streaming!A:A, "Sin servicio gratis")</f>
        <v>Sin servicio gratis</v>
      </c>
      <c r="AJ45" s="5">
        <f t="shared" si="2"/>
        <v>23.24</v>
      </c>
    </row>
    <row r="46">
      <c r="A46" s="1" t="s">
        <v>178</v>
      </c>
      <c r="B46" s="1" t="s">
        <v>56</v>
      </c>
      <c r="C46" s="1" t="s">
        <v>38</v>
      </c>
      <c r="D46" s="1" t="s">
        <v>179</v>
      </c>
      <c r="E46" s="2">
        <v>10.99</v>
      </c>
      <c r="F46" s="1">
        <v>109.99</v>
      </c>
      <c r="G46" s="1">
        <v>2015.0</v>
      </c>
      <c r="H46" s="1">
        <v>2.6</v>
      </c>
      <c r="I46" s="1" t="s">
        <v>40</v>
      </c>
      <c r="J46" s="1" t="s">
        <v>58</v>
      </c>
      <c r="K46" s="1" t="b">
        <v>0</v>
      </c>
      <c r="L46" s="1" t="s">
        <v>180</v>
      </c>
      <c r="M46" s="1">
        <v>20.3</v>
      </c>
      <c r="N46" s="1">
        <v>25.7</v>
      </c>
      <c r="O46" s="1">
        <v>17.1</v>
      </c>
      <c r="P46" s="1">
        <v>21.4</v>
      </c>
      <c r="Q46" s="1">
        <v>13.1</v>
      </c>
      <c r="R46" s="1">
        <v>3.1</v>
      </c>
      <c r="S46" s="1">
        <v>32.4</v>
      </c>
      <c r="T46" s="1">
        <v>30.8</v>
      </c>
      <c r="U46" s="1">
        <v>10.5</v>
      </c>
      <c r="V46" s="1">
        <v>14.0</v>
      </c>
      <c r="W46" s="1">
        <v>7.7</v>
      </c>
      <c r="X46" s="1">
        <v>3.9</v>
      </c>
      <c r="Y46" s="1" t="s">
        <v>115</v>
      </c>
      <c r="Z46" s="1">
        <v>9.95</v>
      </c>
      <c r="AA46" s="3">
        <v>2.7</v>
      </c>
      <c r="AB46" s="1">
        <v>1.5</v>
      </c>
      <c r="AC46" s="1">
        <v>1.7</v>
      </c>
      <c r="AD46" s="1">
        <v>2.0</v>
      </c>
      <c r="AE46" s="1">
        <v>2.3</v>
      </c>
      <c r="AF46" s="1">
        <v>2.6</v>
      </c>
      <c r="AG46" s="5">
        <f t="array" ref="AG46">XLOOKUP(A46, predicciones!G:G, predicciones!B:B, "No encontrado")</f>
        <v>4.161694037</v>
      </c>
      <c r="AH46" s="5">
        <f t="shared" si="1"/>
        <v>1.561694037</v>
      </c>
      <c r="AI46" s="6" t="str">
        <f t="array" ref="AI46">XLOOKUP(L46, Free_Streaming!L:L, Free_Streaming!A:A, "Sin servicio gratis")</f>
        <v>Sin servicio gratis</v>
      </c>
      <c r="AJ46" s="5">
        <f t="shared" si="2"/>
        <v>25.87</v>
      </c>
    </row>
    <row r="47">
      <c r="A47" s="1" t="s">
        <v>181</v>
      </c>
      <c r="B47" s="1" t="s">
        <v>56</v>
      </c>
      <c r="C47" s="1" t="s">
        <v>38</v>
      </c>
      <c r="D47" s="1" t="s">
        <v>182</v>
      </c>
      <c r="E47" s="2">
        <v>19.99</v>
      </c>
      <c r="F47" s="1">
        <v>199.99</v>
      </c>
      <c r="G47" s="1">
        <v>2007.0</v>
      </c>
      <c r="H47" s="1">
        <v>2.5</v>
      </c>
      <c r="I47" s="1" t="s">
        <v>183</v>
      </c>
      <c r="J47" s="1" t="s">
        <v>58</v>
      </c>
      <c r="K47" s="1" t="b">
        <v>0</v>
      </c>
      <c r="L47" s="1" t="s">
        <v>181</v>
      </c>
      <c r="M47" s="1">
        <v>17.9</v>
      </c>
      <c r="N47" s="1">
        <v>26.7</v>
      </c>
      <c r="O47" s="1">
        <v>18.2</v>
      </c>
      <c r="P47" s="1">
        <v>17.3</v>
      </c>
      <c r="Q47" s="1">
        <v>9.3</v>
      </c>
      <c r="R47" s="1">
        <v>3.0</v>
      </c>
      <c r="S47" s="1">
        <v>28.2</v>
      </c>
      <c r="T47" s="1">
        <v>26.9</v>
      </c>
      <c r="U47" s="1">
        <v>19.8</v>
      </c>
      <c r="V47" s="1">
        <v>15.8</v>
      </c>
      <c r="W47" s="1">
        <v>6.8</v>
      </c>
      <c r="X47" s="1">
        <v>4.2</v>
      </c>
      <c r="Y47" s="1" t="s">
        <v>115</v>
      </c>
      <c r="Z47" s="1">
        <v>17.63</v>
      </c>
      <c r="AA47" s="3">
        <v>2.4</v>
      </c>
      <c r="AB47" s="1">
        <v>1.8</v>
      </c>
      <c r="AC47" s="1">
        <v>2.0</v>
      </c>
      <c r="AD47" s="1">
        <v>2.1</v>
      </c>
      <c r="AE47" s="1">
        <v>2.3</v>
      </c>
      <c r="AF47" s="1">
        <v>2.5</v>
      </c>
      <c r="AG47" s="5">
        <f t="array" ref="AG47">XLOOKUP(A47, predicciones!G:G, predicciones!B:B, "No encontrado")</f>
        <v>4.004361364</v>
      </c>
      <c r="AH47" s="5">
        <f t="shared" si="1"/>
        <v>1.504361364</v>
      </c>
      <c r="AI47" s="6" t="str">
        <f t="array" ref="AI47">XLOOKUP(L47, Free_Streaming!L:L, Free_Streaming!A:A, "Sin servicio gratis")</f>
        <v>Sin servicio gratis</v>
      </c>
      <c r="AJ47" s="5">
        <f t="shared" si="2"/>
        <v>44.075</v>
      </c>
    </row>
    <row r="48">
      <c r="A48" s="1" t="s">
        <v>184</v>
      </c>
      <c r="B48" s="1" t="s">
        <v>100</v>
      </c>
      <c r="C48" s="1" t="s">
        <v>38</v>
      </c>
      <c r="D48" s="1" t="s">
        <v>185</v>
      </c>
      <c r="E48" s="2">
        <v>5.99</v>
      </c>
      <c r="F48" s="1">
        <v>59.99</v>
      </c>
      <c r="G48" s="1">
        <v>2016.0</v>
      </c>
      <c r="H48" s="1">
        <v>2.5</v>
      </c>
      <c r="I48" s="1" t="s">
        <v>186</v>
      </c>
      <c r="J48" s="1" t="s">
        <v>58</v>
      </c>
      <c r="K48" s="1" t="b">
        <v>0</v>
      </c>
      <c r="L48" s="1" t="s">
        <v>89</v>
      </c>
      <c r="M48" s="1">
        <v>18.4</v>
      </c>
      <c r="N48" s="1">
        <v>31.8</v>
      </c>
      <c r="O48" s="1">
        <v>26.8</v>
      </c>
      <c r="P48" s="1">
        <v>20.2</v>
      </c>
      <c r="Q48" s="1">
        <v>11.9</v>
      </c>
      <c r="R48" s="1">
        <v>8.9</v>
      </c>
      <c r="S48" s="1">
        <v>39.9</v>
      </c>
      <c r="T48" s="1">
        <v>25.7</v>
      </c>
      <c r="U48" s="1">
        <v>17.3</v>
      </c>
      <c r="V48" s="1">
        <v>13.7</v>
      </c>
      <c r="W48" s="1">
        <v>7.4</v>
      </c>
      <c r="X48" s="1">
        <v>5.3</v>
      </c>
      <c r="Y48" s="1" t="s">
        <v>115</v>
      </c>
      <c r="Z48" s="1">
        <v>6.55</v>
      </c>
      <c r="AA48" s="3">
        <v>2.7</v>
      </c>
      <c r="AB48" s="1">
        <v>1.0</v>
      </c>
      <c r="AC48" s="1">
        <v>1.6</v>
      </c>
      <c r="AD48" s="1">
        <v>1.9</v>
      </c>
      <c r="AE48" s="1">
        <v>2.2</v>
      </c>
      <c r="AF48" s="1">
        <v>2.5</v>
      </c>
      <c r="AG48" s="5">
        <f t="array" ref="AG48">XLOOKUP(A48, predicciones!G:G, predicciones!B:B, "No encontrado")</f>
        <v>4.001628882</v>
      </c>
      <c r="AH48" s="5">
        <f t="shared" si="1"/>
        <v>1.501628882</v>
      </c>
      <c r="AI48" s="6" t="str">
        <f t="array" ref="AI48">XLOOKUP(L48, Free_Streaming!L:L, Free_Streaming!A:A, "Sin servicio gratis")</f>
        <v>Sin servicio gratis</v>
      </c>
      <c r="AJ48" s="5">
        <f t="shared" si="2"/>
        <v>16.375</v>
      </c>
    </row>
    <row r="49">
      <c r="A49" s="1" t="s">
        <v>187</v>
      </c>
      <c r="B49" s="1" t="s">
        <v>100</v>
      </c>
      <c r="C49" s="1" t="s">
        <v>38</v>
      </c>
      <c r="D49" s="1" t="s">
        <v>188</v>
      </c>
      <c r="E49" s="2">
        <v>6.99</v>
      </c>
      <c r="F49" s="1">
        <v>69.99</v>
      </c>
      <c r="G49" s="1">
        <v>2017.0</v>
      </c>
      <c r="H49" s="1">
        <v>2.5</v>
      </c>
      <c r="I49" s="1" t="s">
        <v>189</v>
      </c>
      <c r="J49" s="1" t="s">
        <v>58</v>
      </c>
      <c r="K49" s="1" t="b">
        <v>0</v>
      </c>
      <c r="L49" s="1" t="s">
        <v>190</v>
      </c>
      <c r="M49" s="1">
        <v>16.7</v>
      </c>
      <c r="N49" s="1">
        <v>34.7</v>
      </c>
      <c r="O49" s="1">
        <v>28.2</v>
      </c>
      <c r="P49" s="1">
        <v>19.6</v>
      </c>
      <c r="Q49" s="1">
        <v>11.4</v>
      </c>
      <c r="R49" s="1">
        <v>7.0</v>
      </c>
      <c r="S49" s="1">
        <v>33.0</v>
      </c>
      <c r="T49" s="1">
        <v>27.2</v>
      </c>
      <c r="U49" s="1">
        <v>19.8</v>
      </c>
      <c r="V49" s="1">
        <v>8.7</v>
      </c>
      <c r="W49" s="1">
        <v>10.4</v>
      </c>
      <c r="X49" s="1">
        <v>6.0</v>
      </c>
      <c r="Y49" s="1" t="s">
        <v>115</v>
      </c>
      <c r="Z49" s="1">
        <v>7.16</v>
      </c>
      <c r="AA49" s="3">
        <v>2.7</v>
      </c>
      <c r="AB49" s="1">
        <v>1.0</v>
      </c>
      <c r="AC49" s="1">
        <v>1.3</v>
      </c>
      <c r="AD49" s="1">
        <v>1.9</v>
      </c>
      <c r="AE49" s="1">
        <v>2.2</v>
      </c>
      <c r="AF49" s="1">
        <v>2.5</v>
      </c>
      <c r="AG49" s="5">
        <f t="array" ref="AG49">XLOOKUP(A49, predicciones!G:G, predicciones!B:B, "No encontrado")</f>
        <v>4.001628882</v>
      </c>
      <c r="AH49" s="5">
        <f t="shared" si="1"/>
        <v>1.501628882</v>
      </c>
      <c r="AI49" s="6" t="str">
        <f t="array" ref="AI49">XLOOKUP(L49, Free_Streaming!L:L, Free_Streaming!A:A, "Sin servicio gratis")</f>
        <v>Sin servicio gratis</v>
      </c>
      <c r="AJ49" s="5">
        <f t="shared" si="2"/>
        <v>17.9</v>
      </c>
    </row>
    <row r="50">
      <c r="A50" s="1" t="s">
        <v>191</v>
      </c>
      <c r="B50" s="1" t="s">
        <v>56</v>
      </c>
      <c r="C50" s="1" t="s">
        <v>38</v>
      </c>
      <c r="D50" s="1" t="s">
        <v>192</v>
      </c>
      <c r="E50" s="2">
        <v>2.99</v>
      </c>
      <c r="F50" s="1">
        <v>29.99</v>
      </c>
      <c r="G50" s="1">
        <v>2020.0</v>
      </c>
      <c r="H50" s="1">
        <v>2.5</v>
      </c>
      <c r="I50" s="1" t="s">
        <v>193</v>
      </c>
      <c r="J50" s="1" t="s">
        <v>58</v>
      </c>
      <c r="K50" s="1" t="b">
        <v>0</v>
      </c>
      <c r="L50" s="1" t="s">
        <v>194</v>
      </c>
      <c r="M50" s="1">
        <v>15.0</v>
      </c>
      <c r="N50" s="1">
        <v>26.0</v>
      </c>
      <c r="O50" s="1">
        <v>21.0</v>
      </c>
      <c r="P50" s="1">
        <v>14.3</v>
      </c>
      <c r="Q50" s="1">
        <v>8.8</v>
      </c>
      <c r="R50" s="1">
        <v>3.5</v>
      </c>
      <c r="S50" s="1">
        <v>47.3</v>
      </c>
      <c r="T50" s="1">
        <v>25.3</v>
      </c>
      <c r="U50" s="1">
        <v>10.5</v>
      </c>
      <c r="V50" s="1">
        <v>7.8</v>
      </c>
      <c r="W50" s="1">
        <v>6.2</v>
      </c>
      <c r="X50" s="1">
        <v>3.1</v>
      </c>
      <c r="Y50" s="1" t="s">
        <v>115</v>
      </c>
      <c r="Z50" s="1">
        <v>3.1</v>
      </c>
      <c r="AA50" s="3">
        <v>3.0</v>
      </c>
      <c r="AB50" s="1">
        <v>0.2</v>
      </c>
      <c r="AC50" s="1">
        <v>1.3</v>
      </c>
      <c r="AD50" s="1">
        <v>1.6</v>
      </c>
      <c r="AE50" s="1">
        <v>2.0</v>
      </c>
      <c r="AF50" s="1">
        <v>2.5</v>
      </c>
      <c r="AG50" s="5">
        <f t="array" ref="AG50">XLOOKUP(A50, predicciones!G:G, predicciones!B:B, "No encontrado")</f>
        <v>3.998897892</v>
      </c>
      <c r="AH50" s="5">
        <f t="shared" si="1"/>
        <v>1.498897892</v>
      </c>
      <c r="AI50" s="6" t="str">
        <f t="array" ref="AI50">XLOOKUP(L50, Free_Streaming!L:L, Free_Streaming!A:A, "Sin servicio gratis")</f>
        <v>Sin servicio gratis</v>
      </c>
      <c r="AJ50" s="5">
        <f t="shared" si="2"/>
        <v>7.75</v>
      </c>
    </row>
    <row r="51">
      <c r="A51" s="1" t="s">
        <v>195</v>
      </c>
      <c r="B51" s="1" t="s">
        <v>56</v>
      </c>
      <c r="C51" s="1" t="s">
        <v>38</v>
      </c>
      <c r="D51" s="1" t="s">
        <v>61</v>
      </c>
      <c r="E51" s="2">
        <v>1.99</v>
      </c>
      <c r="F51" s="1">
        <v>19.99</v>
      </c>
      <c r="G51" s="1">
        <v>2012.0</v>
      </c>
      <c r="H51" s="1">
        <v>2.2</v>
      </c>
      <c r="I51" s="1" t="s">
        <v>196</v>
      </c>
      <c r="J51" s="1" t="s">
        <v>58</v>
      </c>
      <c r="K51" s="1" t="b">
        <v>0</v>
      </c>
      <c r="L51" s="1" t="s">
        <v>197</v>
      </c>
      <c r="M51" s="1">
        <v>11.1</v>
      </c>
      <c r="N51" s="1">
        <v>31.5</v>
      </c>
      <c r="O51" s="1">
        <v>19.8</v>
      </c>
      <c r="P51" s="1">
        <v>14.6</v>
      </c>
      <c r="Q51" s="1">
        <v>12.5</v>
      </c>
      <c r="R51" s="1">
        <v>6.2</v>
      </c>
      <c r="S51" s="1">
        <v>42.6</v>
      </c>
      <c r="T51" s="1">
        <v>23.0</v>
      </c>
      <c r="U51" s="1">
        <v>19.3</v>
      </c>
      <c r="V51" s="1">
        <v>17.2</v>
      </c>
      <c r="W51" s="1">
        <v>3.4</v>
      </c>
      <c r="X51" s="1">
        <v>5.7</v>
      </c>
      <c r="Y51" s="1" t="s">
        <v>115</v>
      </c>
      <c r="Z51" s="1">
        <v>2.16</v>
      </c>
      <c r="AA51" s="3">
        <v>2.4</v>
      </c>
      <c r="AB51" s="1">
        <v>1.3</v>
      </c>
      <c r="AC51" s="1">
        <v>1.4</v>
      </c>
      <c r="AD51" s="1">
        <v>1.9</v>
      </c>
      <c r="AE51" s="1">
        <v>2.0</v>
      </c>
      <c r="AF51" s="1">
        <v>2.2</v>
      </c>
      <c r="AG51" s="5">
        <f t="array" ref="AG51">XLOOKUP(A51, predicciones!G:G, predicciones!B:B, "No encontrado")</f>
        <v>3.523838</v>
      </c>
      <c r="AH51" s="5">
        <f t="shared" si="1"/>
        <v>1.323838</v>
      </c>
      <c r="AI51" s="6" t="str">
        <f t="array" ref="AI51">XLOOKUP(L51, Free_Streaming!L:L, Free_Streaming!A:A, "Sin servicio gratis")</f>
        <v>Sin servicio gratis</v>
      </c>
      <c r="AJ51" s="5">
        <f t="shared" si="2"/>
        <v>4.752</v>
      </c>
    </row>
    <row r="52">
      <c r="A52" s="1" t="s">
        <v>198</v>
      </c>
      <c r="B52" s="1" t="s">
        <v>94</v>
      </c>
      <c r="C52" s="1" t="s">
        <v>38</v>
      </c>
      <c r="D52" s="1" t="s">
        <v>199</v>
      </c>
      <c r="E52" s="2">
        <v>79.99</v>
      </c>
      <c r="F52" s="1">
        <v>799.99</v>
      </c>
      <c r="G52" s="1">
        <v>2015.0</v>
      </c>
      <c r="H52" s="1">
        <v>2.1</v>
      </c>
      <c r="I52" s="1" t="s">
        <v>200</v>
      </c>
      <c r="J52" s="1" t="s">
        <v>58</v>
      </c>
      <c r="K52" s="1" t="b">
        <v>0</v>
      </c>
      <c r="L52" s="1" t="s">
        <v>201</v>
      </c>
      <c r="M52" s="1">
        <v>8.7</v>
      </c>
      <c r="N52" s="1">
        <v>33.3</v>
      </c>
      <c r="O52" s="1">
        <v>25.9</v>
      </c>
      <c r="P52" s="1">
        <v>14.2</v>
      </c>
      <c r="Q52" s="1">
        <v>7.8</v>
      </c>
      <c r="R52" s="1">
        <v>5.3</v>
      </c>
      <c r="S52" s="1">
        <v>36.8</v>
      </c>
      <c r="T52" s="1">
        <v>24.7</v>
      </c>
      <c r="U52" s="1">
        <v>13.8</v>
      </c>
      <c r="V52" s="1">
        <v>12.0</v>
      </c>
      <c r="W52" s="1">
        <v>6.5</v>
      </c>
      <c r="X52" s="1">
        <v>4.6</v>
      </c>
      <c r="Y52" s="1" t="s">
        <v>115</v>
      </c>
      <c r="Z52" s="1">
        <v>84.87</v>
      </c>
      <c r="AA52" s="3">
        <v>2.7</v>
      </c>
      <c r="AB52" s="1">
        <v>1.2</v>
      </c>
      <c r="AC52" s="1">
        <v>1.4</v>
      </c>
      <c r="AD52" s="1">
        <v>1.6</v>
      </c>
      <c r="AE52" s="1">
        <v>1.8</v>
      </c>
      <c r="AF52" s="1">
        <v>2.1</v>
      </c>
      <c r="AG52" s="5">
        <f t="array" ref="AG52">XLOOKUP(A52, predicciones!G:G, predicciones!B:B, "No encontrado")</f>
        <v>3.674229287</v>
      </c>
      <c r="AH52" s="5">
        <f t="shared" si="1"/>
        <v>1.574229287</v>
      </c>
      <c r="AI52" s="6" t="str">
        <f t="array" ref="AI52">XLOOKUP(L52, Free_Streaming!L:L, Free_Streaming!A:A, "Sin servicio gratis")</f>
        <v>Sin servicio gratis</v>
      </c>
      <c r="AJ52" s="5">
        <f t="shared" si="2"/>
        <v>178.227</v>
      </c>
    </row>
    <row r="53">
      <c r="A53" s="1" t="s">
        <v>202</v>
      </c>
      <c r="B53" s="1" t="s">
        <v>138</v>
      </c>
      <c r="C53" s="1" t="s">
        <v>38</v>
      </c>
      <c r="D53" s="1" t="s">
        <v>95</v>
      </c>
      <c r="E53" s="2">
        <v>40.0</v>
      </c>
      <c r="F53" s="1">
        <v>400.0</v>
      </c>
      <c r="G53" s="1">
        <v>2015.0</v>
      </c>
      <c r="H53" s="1">
        <v>2.1</v>
      </c>
      <c r="I53" s="1" t="s">
        <v>203</v>
      </c>
      <c r="J53" s="1" t="s">
        <v>58</v>
      </c>
      <c r="K53" s="1" t="b">
        <v>0</v>
      </c>
      <c r="L53" s="1" t="s">
        <v>204</v>
      </c>
      <c r="M53" s="1">
        <v>17.7</v>
      </c>
      <c r="N53" s="1">
        <v>21.7</v>
      </c>
      <c r="O53" s="1">
        <v>24.4</v>
      </c>
      <c r="P53" s="1">
        <v>18.6</v>
      </c>
      <c r="Q53" s="1">
        <v>5.9</v>
      </c>
      <c r="R53" s="1">
        <v>4.8</v>
      </c>
      <c r="S53" s="1">
        <v>32.4</v>
      </c>
      <c r="T53" s="1">
        <v>29.4</v>
      </c>
      <c r="U53" s="1">
        <v>17.4</v>
      </c>
      <c r="V53" s="1">
        <v>13.7</v>
      </c>
      <c r="W53" s="1">
        <v>9.1</v>
      </c>
      <c r="X53" s="1">
        <v>6.7</v>
      </c>
      <c r="Y53" s="1" t="s">
        <v>115</v>
      </c>
      <c r="Z53" s="1">
        <v>44.01</v>
      </c>
      <c r="AA53" s="3">
        <v>2.7</v>
      </c>
      <c r="AB53" s="1">
        <v>1.2</v>
      </c>
      <c r="AC53" s="1">
        <v>1.4</v>
      </c>
      <c r="AD53" s="1">
        <v>1.6</v>
      </c>
      <c r="AE53" s="1">
        <v>1.8</v>
      </c>
      <c r="AF53" s="1">
        <v>2.1</v>
      </c>
      <c r="AG53" s="5">
        <f t="array" ref="AG53">XLOOKUP(A53, predicciones!G:G, predicciones!B:B, "No encontrado")</f>
        <v>3.070191842</v>
      </c>
      <c r="AH53" s="5">
        <f t="shared" si="1"/>
        <v>0.9701918415</v>
      </c>
      <c r="AI53" s="6" t="str">
        <f t="array" ref="AI53">XLOOKUP(L53, Free_Streaming!L:L, Free_Streaming!A:A, "Sin servicio gratis")</f>
        <v>Sin servicio gratis</v>
      </c>
      <c r="AJ53" s="5">
        <f t="shared" si="2"/>
        <v>92.421</v>
      </c>
    </row>
    <row r="54">
      <c r="A54" s="1" t="s">
        <v>205</v>
      </c>
      <c r="B54" s="1" t="s">
        <v>56</v>
      </c>
      <c r="C54" s="1" t="s">
        <v>38</v>
      </c>
      <c r="D54" s="1" t="s">
        <v>206</v>
      </c>
      <c r="E54" s="2">
        <v>4.99</v>
      </c>
      <c r="F54" s="1">
        <v>49.99</v>
      </c>
      <c r="G54" s="1">
        <v>2015.0</v>
      </c>
      <c r="H54" s="1">
        <v>2.0</v>
      </c>
      <c r="I54" s="1" t="s">
        <v>40</v>
      </c>
      <c r="J54" s="1" t="s">
        <v>58</v>
      </c>
      <c r="K54" s="1" t="b">
        <v>0</v>
      </c>
      <c r="L54" s="1" t="s">
        <v>207</v>
      </c>
      <c r="M54" s="1">
        <v>8.2</v>
      </c>
      <c r="N54" s="1">
        <v>28.7</v>
      </c>
      <c r="O54" s="1">
        <v>25.4</v>
      </c>
      <c r="P54" s="1">
        <v>14.7</v>
      </c>
      <c r="Q54" s="1">
        <v>10.5</v>
      </c>
      <c r="R54" s="1">
        <v>8.8</v>
      </c>
      <c r="S54" s="1">
        <v>35.8</v>
      </c>
      <c r="T54" s="1">
        <v>22.2</v>
      </c>
      <c r="U54" s="1">
        <v>19.6</v>
      </c>
      <c r="V54" s="1">
        <v>15.3</v>
      </c>
      <c r="W54" s="1">
        <v>3.9</v>
      </c>
      <c r="X54" s="1">
        <v>4.9</v>
      </c>
      <c r="Y54" s="1" t="s">
        <v>115</v>
      </c>
      <c r="Z54" s="1">
        <v>4.33</v>
      </c>
      <c r="AA54" s="3">
        <v>2.7</v>
      </c>
      <c r="AB54" s="1">
        <v>1.1</v>
      </c>
      <c r="AC54" s="1">
        <v>1.3</v>
      </c>
      <c r="AD54" s="1">
        <v>1.5</v>
      </c>
      <c r="AE54" s="1">
        <v>1.7</v>
      </c>
      <c r="AF54" s="1">
        <v>2.0</v>
      </c>
      <c r="AG54" s="5">
        <f t="array" ref="AG54">XLOOKUP(A54, predicciones!G:G, predicciones!B:B, "No encontrado")</f>
        <v>3.201303105</v>
      </c>
      <c r="AH54" s="5">
        <f t="shared" si="1"/>
        <v>1.201303105</v>
      </c>
      <c r="AI54" s="6" t="str">
        <f t="array" ref="AI54">XLOOKUP(L54, Free_Streaming!L:L, Free_Streaming!A:A, "Sin servicio gratis")</f>
        <v>Sin servicio gratis</v>
      </c>
      <c r="AJ54" s="5">
        <f t="shared" si="2"/>
        <v>8.66</v>
      </c>
    </row>
    <row r="55">
      <c r="A55" s="1" t="s">
        <v>208</v>
      </c>
      <c r="B55" s="1" t="s">
        <v>100</v>
      </c>
      <c r="C55" s="1" t="s">
        <v>38</v>
      </c>
      <c r="D55" s="1" t="s">
        <v>188</v>
      </c>
      <c r="E55" s="2">
        <v>6.99</v>
      </c>
      <c r="F55" s="1">
        <v>69.99</v>
      </c>
      <c r="G55" s="1">
        <v>2011.0</v>
      </c>
      <c r="H55" s="1">
        <v>1.8</v>
      </c>
      <c r="I55" s="1" t="s">
        <v>209</v>
      </c>
      <c r="J55" s="1" t="s">
        <v>58</v>
      </c>
      <c r="K55" s="1" t="b">
        <v>0</v>
      </c>
      <c r="L55" s="1" t="s">
        <v>132</v>
      </c>
      <c r="M55" s="1">
        <v>11.3</v>
      </c>
      <c r="N55" s="1">
        <v>25.2</v>
      </c>
      <c r="O55" s="1">
        <v>19.2</v>
      </c>
      <c r="P55" s="1">
        <v>12.0</v>
      </c>
      <c r="Q55" s="1">
        <v>6.0</v>
      </c>
      <c r="R55" s="1">
        <v>7.3</v>
      </c>
      <c r="S55" s="1">
        <v>35.0</v>
      </c>
      <c r="T55" s="1">
        <v>27.0</v>
      </c>
      <c r="U55" s="1">
        <v>20.3</v>
      </c>
      <c r="V55" s="1">
        <v>12.0</v>
      </c>
      <c r="W55" s="1">
        <v>8.9</v>
      </c>
      <c r="X55" s="1">
        <v>3.1</v>
      </c>
      <c r="Y55" s="1" t="s">
        <v>115</v>
      </c>
      <c r="Z55" s="1">
        <v>7.51</v>
      </c>
      <c r="AA55" s="3">
        <v>2.4</v>
      </c>
      <c r="AB55" s="1">
        <v>1.0</v>
      </c>
      <c r="AC55" s="1">
        <v>1.4</v>
      </c>
      <c r="AD55" s="1">
        <v>1.5</v>
      </c>
      <c r="AE55" s="1">
        <v>1.7</v>
      </c>
      <c r="AF55" s="1">
        <v>1.8</v>
      </c>
      <c r="AG55" s="5">
        <f t="array" ref="AG55">XLOOKUP(A55, predicciones!G:G, predicciones!B:B, "No encontrado")</f>
        <v>2.883140182</v>
      </c>
      <c r="AH55" s="5">
        <f t="shared" si="1"/>
        <v>1.083140182</v>
      </c>
      <c r="AI55" s="6" t="str">
        <f t="array" ref="AI55">XLOOKUP(L55, Free_Streaming!L:L, Free_Streaming!A:A, "Sin servicio gratis")</f>
        <v>Sin servicio gratis</v>
      </c>
      <c r="AJ55" s="5">
        <f t="shared" si="2"/>
        <v>13.518</v>
      </c>
    </row>
    <row r="56">
      <c r="A56" s="1" t="s">
        <v>210</v>
      </c>
      <c r="B56" s="1" t="s">
        <v>56</v>
      </c>
      <c r="C56" s="1" t="s">
        <v>38</v>
      </c>
      <c r="D56" s="1" t="s">
        <v>161</v>
      </c>
      <c r="E56" s="2">
        <v>9.99</v>
      </c>
      <c r="F56" s="1">
        <v>99.99</v>
      </c>
      <c r="G56" s="1">
        <v>2012.0</v>
      </c>
      <c r="H56" s="1">
        <v>1.8</v>
      </c>
      <c r="I56" s="1" t="s">
        <v>110</v>
      </c>
      <c r="J56" s="1" t="s">
        <v>58</v>
      </c>
      <c r="K56" s="1" t="b">
        <v>0</v>
      </c>
      <c r="L56" s="1" t="s">
        <v>211</v>
      </c>
      <c r="M56" s="1">
        <v>21.8</v>
      </c>
      <c r="N56" s="1">
        <v>27.8</v>
      </c>
      <c r="O56" s="1">
        <v>22.2</v>
      </c>
      <c r="P56" s="1">
        <v>18.3</v>
      </c>
      <c r="Q56" s="1">
        <v>14.0</v>
      </c>
      <c r="R56" s="1">
        <v>4.7</v>
      </c>
      <c r="S56" s="1">
        <v>40.1</v>
      </c>
      <c r="T56" s="1">
        <v>30.5</v>
      </c>
      <c r="U56" s="1">
        <v>12.3</v>
      </c>
      <c r="V56" s="1">
        <v>9.3</v>
      </c>
      <c r="W56" s="1">
        <v>3.9</v>
      </c>
      <c r="X56" s="1">
        <v>6.4</v>
      </c>
      <c r="Y56" s="1" t="s">
        <v>115</v>
      </c>
      <c r="Z56" s="1">
        <v>11.04</v>
      </c>
      <c r="AA56" s="3">
        <v>2.4</v>
      </c>
      <c r="AB56" s="1">
        <v>1.0</v>
      </c>
      <c r="AC56" s="1">
        <v>1.2</v>
      </c>
      <c r="AD56" s="1">
        <v>1.5</v>
      </c>
      <c r="AE56" s="1">
        <v>1.7</v>
      </c>
      <c r="AF56" s="1">
        <v>1.8</v>
      </c>
      <c r="AG56" s="5">
        <f t="array" ref="AG56">XLOOKUP(A56, predicciones!G:G, predicciones!B:B, "No encontrado")</f>
        <v>2.883140182</v>
      </c>
      <c r="AH56" s="5">
        <f t="shared" si="1"/>
        <v>1.083140182</v>
      </c>
      <c r="AI56" s="6" t="str">
        <f t="array" ref="AI56">XLOOKUP(L56, Free_Streaming!L:L, Free_Streaming!A:A, "Sin servicio gratis")</f>
        <v>Sin servicio gratis</v>
      </c>
      <c r="AJ56" s="5">
        <f t="shared" si="2"/>
        <v>19.872</v>
      </c>
    </row>
    <row r="57">
      <c r="A57" s="1" t="s">
        <v>212</v>
      </c>
      <c r="B57" s="1" t="s">
        <v>100</v>
      </c>
      <c r="C57" s="1" t="s">
        <v>38</v>
      </c>
      <c r="D57" s="1" t="s">
        <v>213</v>
      </c>
      <c r="E57" s="2">
        <v>5.99</v>
      </c>
      <c r="F57" s="1">
        <v>59.99</v>
      </c>
      <c r="G57" s="1">
        <v>2016.0</v>
      </c>
      <c r="H57" s="1">
        <v>1.5</v>
      </c>
      <c r="I57" s="1" t="s">
        <v>117</v>
      </c>
      <c r="J57" s="1" t="s">
        <v>41</v>
      </c>
      <c r="K57" s="1" t="b">
        <v>0</v>
      </c>
      <c r="L57" s="1" t="s">
        <v>118</v>
      </c>
      <c r="M57" s="1">
        <v>17.5</v>
      </c>
      <c r="N57" s="1">
        <v>31.0</v>
      </c>
      <c r="O57" s="1">
        <v>23.7</v>
      </c>
      <c r="P57" s="1">
        <v>14.0</v>
      </c>
      <c r="Q57" s="1">
        <v>7.6</v>
      </c>
      <c r="R57" s="1">
        <v>4.2</v>
      </c>
      <c r="S57" s="1">
        <v>36.9</v>
      </c>
      <c r="T57" s="1">
        <v>19.4</v>
      </c>
      <c r="U57" s="1">
        <v>14.5</v>
      </c>
      <c r="V57" s="1">
        <v>17.5</v>
      </c>
      <c r="W57" s="1">
        <v>4.5</v>
      </c>
      <c r="X57" s="1">
        <v>5.4</v>
      </c>
      <c r="Y57" s="1" t="s">
        <v>115</v>
      </c>
      <c r="Z57" s="1">
        <v>5.61</v>
      </c>
      <c r="AA57" s="3">
        <v>2.7</v>
      </c>
      <c r="AB57" s="1">
        <v>0.6</v>
      </c>
      <c r="AC57" s="1">
        <v>1.0</v>
      </c>
      <c r="AD57" s="1">
        <v>1.1</v>
      </c>
      <c r="AE57" s="1">
        <v>1.3</v>
      </c>
      <c r="AF57" s="1">
        <v>1.5</v>
      </c>
      <c r="AG57" s="5">
        <f t="array" ref="AG57">XLOOKUP(A57, predicciones!G:G, predicciones!B:B, "No encontrado")</f>
        <v>2.400977329</v>
      </c>
      <c r="AH57" s="5">
        <f t="shared" si="1"/>
        <v>0.9009773291</v>
      </c>
      <c r="AI57" s="6" t="str">
        <f t="array" ref="AI57">XLOOKUP(L57, Free_Streaming!L:L, Free_Streaming!A:A, "Sin servicio gratis")</f>
        <v>Sin servicio gratis</v>
      </c>
      <c r="AJ57" s="5">
        <f t="shared" si="2"/>
        <v>8.415</v>
      </c>
    </row>
    <row r="58">
      <c r="A58" s="1" t="s">
        <v>214</v>
      </c>
      <c r="B58" s="1" t="s">
        <v>138</v>
      </c>
      <c r="C58" s="1" t="s">
        <v>38</v>
      </c>
      <c r="D58" s="1" t="s">
        <v>95</v>
      </c>
      <c r="E58" s="2">
        <v>69.99</v>
      </c>
      <c r="F58" s="1">
        <v>699.99</v>
      </c>
      <c r="G58" s="1">
        <v>2016.0</v>
      </c>
      <c r="H58" s="1">
        <v>1.5</v>
      </c>
      <c r="I58" s="1" t="s">
        <v>203</v>
      </c>
      <c r="J58" s="1" t="s">
        <v>58</v>
      </c>
      <c r="K58" s="1" t="b">
        <v>0</v>
      </c>
      <c r="L58" s="1" t="s">
        <v>215</v>
      </c>
      <c r="M58" s="1">
        <v>22.0</v>
      </c>
      <c r="N58" s="1">
        <v>27.8</v>
      </c>
      <c r="O58" s="1">
        <v>23.9</v>
      </c>
      <c r="P58" s="1">
        <v>9.7</v>
      </c>
      <c r="Q58" s="1">
        <v>4.7</v>
      </c>
      <c r="R58" s="1">
        <v>10.1</v>
      </c>
      <c r="S58" s="1">
        <v>30.7</v>
      </c>
      <c r="T58" s="1">
        <v>29.3</v>
      </c>
      <c r="U58" s="1">
        <v>17.5</v>
      </c>
      <c r="V58" s="1">
        <v>6.9</v>
      </c>
      <c r="W58" s="1">
        <v>8.5</v>
      </c>
      <c r="X58" s="1">
        <v>6.0</v>
      </c>
      <c r="Y58" s="1" t="s">
        <v>115</v>
      </c>
      <c r="Z58" s="1">
        <v>72.94</v>
      </c>
      <c r="AA58" s="3">
        <v>2.7</v>
      </c>
      <c r="AB58" s="1">
        <v>0.6</v>
      </c>
      <c r="AC58" s="1">
        <v>1.0</v>
      </c>
      <c r="AD58" s="1">
        <v>1.1</v>
      </c>
      <c r="AE58" s="1">
        <v>1.3</v>
      </c>
      <c r="AF58" s="1">
        <v>1.5</v>
      </c>
      <c r="AG58" s="5">
        <f t="array" ref="AG58">XLOOKUP(A58, predicciones!G:G, predicciones!B:B, "No encontrado")</f>
        <v>2.192994173</v>
      </c>
      <c r="AH58" s="5">
        <f t="shared" si="1"/>
        <v>0.6929941725</v>
      </c>
      <c r="AI58" s="6" t="str">
        <f t="array" ref="AI58">XLOOKUP(L58, Free_Streaming!L:L, Free_Streaming!A:A, "Sin servicio gratis")</f>
        <v>Sin servicio gratis</v>
      </c>
      <c r="AJ58" s="5">
        <f t="shared" si="2"/>
        <v>109.41</v>
      </c>
    </row>
    <row r="59">
      <c r="A59" s="1" t="s">
        <v>216</v>
      </c>
      <c r="B59" s="1" t="s">
        <v>56</v>
      </c>
      <c r="C59" s="1" t="s">
        <v>38</v>
      </c>
      <c r="D59" s="1" t="s">
        <v>179</v>
      </c>
      <c r="E59" s="2">
        <v>10.0</v>
      </c>
      <c r="F59" s="1">
        <v>100.0</v>
      </c>
      <c r="G59" s="1">
        <v>2020.0</v>
      </c>
      <c r="H59" s="1">
        <v>1.5</v>
      </c>
      <c r="I59" s="1" t="s">
        <v>40</v>
      </c>
      <c r="J59" s="1" t="s">
        <v>58</v>
      </c>
      <c r="K59" s="1" t="b">
        <v>0</v>
      </c>
      <c r="L59" s="1" t="s">
        <v>217</v>
      </c>
      <c r="M59" s="1">
        <v>12.0</v>
      </c>
      <c r="N59" s="1">
        <v>27.6</v>
      </c>
      <c r="O59" s="1">
        <v>25.4</v>
      </c>
      <c r="P59" s="1">
        <v>14.2</v>
      </c>
      <c r="Q59" s="1">
        <v>13.3</v>
      </c>
      <c r="R59" s="1">
        <v>7.0</v>
      </c>
      <c r="S59" s="1">
        <v>37.7</v>
      </c>
      <c r="T59" s="1">
        <v>20.3</v>
      </c>
      <c r="U59" s="1">
        <v>21.3</v>
      </c>
      <c r="V59" s="1">
        <v>13.1</v>
      </c>
      <c r="W59" s="1">
        <v>4.2</v>
      </c>
      <c r="X59" s="1">
        <v>3.8</v>
      </c>
      <c r="Y59" s="1" t="s">
        <v>115</v>
      </c>
      <c r="Z59" s="1">
        <v>9.44</v>
      </c>
      <c r="AA59" s="3">
        <v>3.0</v>
      </c>
      <c r="AB59" s="1">
        <v>0.2</v>
      </c>
      <c r="AC59" s="1">
        <v>0.8</v>
      </c>
      <c r="AD59" s="1">
        <v>1.0</v>
      </c>
      <c r="AE59" s="1">
        <v>1.2</v>
      </c>
      <c r="AF59" s="1">
        <v>1.5</v>
      </c>
      <c r="AG59" s="5">
        <f t="array" ref="AG59">XLOOKUP(A59, predicciones!G:G, predicciones!B:B, "No encontrado")</f>
        <v>2.399338735</v>
      </c>
      <c r="AH59" s="5">
        <f t="shared" si="1"/>
        <v>0.899338735</v>
      </c>
      <c r="AI59" s="6" t="str">
        <f t="array" ref="AI59">XLOOKUP(L59, Free_Streaming!L:L, Free_Streaming!A:A, "Sin servicio gratis")</f>
        <v>Sin servicio gratis</v>
      </c>
      <c r="AJ59" s="5">
        <f t="shared" si="2"/>
        <v>14.16</v>
      </c>
    </row>
    <row r="60">
      <c r="A60" s="1" t="s">
        <v>218</v>
      </c>
      <c r="B60" s="1" t="s">
        <v>100</v>
      </c>
      <c r="C60" s="1" t="s">
        <v>38</v>
      </c>
      <c r="D60" s="1" t="s">
        <v>213</v>
      </c>
      <c r="E60" s="2">
        <v>5.99</v>
      </c>
      <c r="F60" s="1">
        <v>56.99</v>
      </c>
      <c r="G60" s="1">
        <v>2015.0</v>
      </c>
      <c r="H60" s="1">
        <v>1.2</v>
      </c>
      <c r="I60" s="1" t="s">
        <v>219</v>
      </c>
      <c r="J60" s="1" t="s">
        <v>41</v>
      </c>
      <c r="K60" s="1" t="b">
        <v>0</v>
      </c>
      <c r="L60" s="1" t="s">
        <v>132</v>
      </c>
      <c r="M60" s="1">
        <v>13.8</v>
      </c>
      <c r="N60" s="1">
        <v>28.9</v>
      </c>
      <c r="O60" s="1">
        <v>20.2</v>
      </c>
      <c r="P60" s="1">
        <v>21.2</v>
      </c>
      <c r="Q60" s="1">
        <v>5.8</v>
      </c>
      <c r="R60" s="1">
        <v>6.0</v>
      </c>
      <c r="S60" s="1">
        <v>43.2</v>
      </c>
      <c r="T60" s="1">
        <v>23.2</v>
      </c>
      <c r="U60" s="1">
        <v>13.9</v>
      </c>
      <c r="V60" s="1">
        <v>7.6</v>
      </c>
      <c r="W60" s="1">
        <v>7.4</v>
      </c>
      <c r="X60" s="1">
        <v>1.9</v>
      </c>
      <c r="Y60" s="1" t="s">
        <v>115</v>
      </c>
      <c r="Z60" s="1">
        <v>6.81</v>
      </c>
      <c r="AA60" s="3">
        <v>2.7</v>
      </c>
      <c r="AB60" s="1">
        <v>0.7</v>
      </c>
      <c r="AC60" s="1">
        <v>0.8</v>
      </c>
      <c r="AD60" s="1">
        <v>0.9</v>
      </c>
      <c r="AE60" s="1">
        <v>1.0</v>
      </c>
      <c r="AF60" s="1">
        <v>1.2</v>
      </c>
      <c r="AG60" s="5">
        <f t="array" ref="AG60">XLOOKUP(A60, predicciones!G:G, predicciones!B:B, "No encontrado")</f>
        <v>1.920781863</v>
      </c>
      <c r="AH60" s="5">
        <f t="shared" si="1"/>
        <v>0.7207818633</v>
      </c>
      <c r="AI60" s="6" t="str">
        <f t="array" ref="AI60">XLOOKUP(L60, Free_Streaming!L:L, Free_Streaming!A:A, "Sin servicio gratis")</f>
        <v>Sin servicio gratis</v>
      </c>
      <c r="AJ60" s="5">
        <f t="shared" si="2"/>
        <v>8.172</v>
      </c>
    </row>
    <row r="61">
      <c r="A61" s="1" t="s">
        <v>220</v>
      </c>
      <c r="B61" s="1" t="s">
        <v>138</v>
      </c>
      <c r="C61" s="1" t="s">
        <v>38</v>
      </c>
      <c r="D61" s="1" t="s">
        <v>95</v>
      </c>
      <c r="E61" s="2">
        <v>25.0</v>
      </c>
      <c r="F61" s="1">
        <v>250.0</v>
      </c>
      <c r="G61" s="1">
        <v>2017.0</v>
      </c>
      <c r="H61" s="1">
        <v>1.2</v>
      </c>
      <c r="I61" s="1" t="s">
        <v>203</v>
      </c>
      <c r="J61" s="1" t="s">
        <v>58</v>
      </c>
      <c r="K61" s="1" t="b">
        <v>0</v>
      </c>
      <c r="L61" s="1" t="s">
        <v>221</v>
      </c>
      <c r="M61" s="1">
        <v>9.8</v>
      </c>
      <c r="N61" s="1">
        <v>26.0</v>
      </c>
      <c r="O61" s="1">
        <v>24.2</v>
      </c>
      <c r="P61" s="1">
        <v>24.0</v>
      </c>
      <c r="Q61" s="1">
        <v>13.7</v>
      </c>
      <c r="R61" s="1">
        <v>7.2</v>
      </c>
      <c r="S61" s="1">
        <v>35.2</v>
      </c>
      <c r="T61" s="1">
        <v>21.2</v>
      </c>
      <c r="U61" s="1">
        <v>19.6</v>
      </c>
      <c r="V61" s="1">
        <v>17.9</v>
      </c>
      <c r="W61" s="1">
        <v>8.3</v>
      </c>
      <c r="X61" s="1">
        <v>4.0</v>
      </c>
      <c r="Y61" s="1" t="s">
        <v>115</v>
      </c>
      <c r="Z61" s="1">
        <v>21.5</v>
      </c>
      <c r="AA61" s="3">
        <v>2.7</v>
      </c>
      <c r="AB61" s="1">
        <v>0.5</v>
      </c>
      <c r="AC61" s="1">
        <v>0.6</v>
      </c>
      <c r="AD61" s="1">
        <v>0.9</v>
      </c>
      <c r="AE61" s="1">
        <v>1.0</v>
      </c>
      <c r="AF61" s="1">
        <v>1.2</v>
      </c>
      <c r="AG61" s="5">
        <f t="array" ref="AG61">XLOOKUP(A61, predicciones!G:G, predicciones!B:B, "No encontrado")</f>
        <v>1.754395338</v>
      </c>
      <c r="AH61" s="5">
        <f t="shared" si="1"/>
        <v>0.554395338</v>
      </c>
      <c r="AI61" s="6" t="str">
        <f t="array" ref="AI61">XLOOKUP(L61, Free_Streaming!L:L, Free_Streaming!A:A, "Sin servicio gratis")</f>
        <v>Sin servicio gratis</v>
      </c>
      <c r="AJ61" s="5">
        <f t="shared" si="2"/>
        <v>25.8</v>
      </c>
    </row>
    <row r="62">
      <c r="A62" s="1" t="s">
        <v>222</v>
      </c>
      <c r="B62" s="1" t="s">
        <v>56</v>
      </c>
      <c r="C62" s="1" t="s">
        <v>38</v>
      </c>
      <c r="D62" s="1" t="s">
        <v>166</v>
      </c>
      <c r="E62" s="2">
        <v>9.99</v>
      </c>
      <c r="F62" s="1">
        <v>99.99</v>
      </c>
      <c r="G62" s="1">
        <v>2019.0</v>
      </c>
      <c r="H62" s="1">
        <v>0.8</v>
      </c>
      <c r="I62" s="1" t="s">
        <v>223</v>
      </c>
      <c r="J62" s="1" t="s">
        <v>58</v>
      </c>
      <c r="K62" s="1" t="b">
        <v>0</v>
      </c>
      <c r="L62" s="1" t="s">
        <v>224</v>
      </c>
      <c r="M62" s="1">
        <v>14.1</v>
      </c>
      <c r="N62" s="1">
        <v>29.0</v>
      </c>
      <c r="O62" s="1">
        <v>26.6</v>
      </c>
      <c r="P62" s="1">
        <v>18.5</v>
      </c>
      <c r="Q62" s="1">
        <v>11.9</v>
      </c>
      <c r="R62" s="1">
        <v>8.5</v>
      </c>
      <c r="S62" s="1">
        <v>41.3</v>
      </c>
      <c r="T62" s="1">
        <v>19.3</v>
      </c>
      <c r="U62" s="1">
        <v>21.2</v>
      </c>
      <c r="V62" s="1">
        <v>10.8</v>
      </c>
      <c r="W62" s="1">
        <v>7.3</v>
      </c>
      <c r="X62" s="1">
        <v>5.7</v>
      </c>
      <c r="Y62" s="1" t="s">
        <v>115</v>
      </c>
      <c r="Z62" s="1">
        <v>10.23</v>
      </c>
      <c r="AA62" s="3">
        <v>2.7</v>
      </c>
      <c r="AB62" s="1">
        <v>0.3</v>
      </c>
      <c r="AC62" s="1">
        <v>0.4</v>
      </c>
      <c r="AD62" s="1">
        <v>0.5</v>
      </c>
      <c r="AE62" s="1">
        <v>0.6</v>
      </c>
      <c r="AF62" s="1">
        <v>0.8</v>
      </c>
      <c r="AG62" s="5">
        <f t="array" ref="AG62">XLOOKUP(A62, predicciones!G:G, predicciones!B:B, "No encontrado")</f>
        <v>1.280521242</v>
      </c>
      <c r="AH62" s="5">
        <f t="shared" si="1"/>
        <v>0.4805212422</v>
      </c>
      <c r="AI62" s="6" t="str">
        <f t="array" ref="AI62">XLOOKUP(L62, Free_Streaming!L:L, Free_Streaming!A:A, "Sin servicio gratis")</f>
        <v>Sin servicio gratis</v>
      </c>
      <c r="AJ62" s="5">
        <f t="shared" si="2"/>
        <v>8.184</v>
      </c>
    </row>
    <row r="63">
      <c r="A63" s="1" t="s">
        <v>225</v>
      </c>
      <c r="B63" s="1" t="s">
        <v>100</v>
      </c>
      <c r="C63" s="1" t="s">
        <v>38</v>
      </c>
      <c r="D63" s="1" t="s">
        <v>130</v>
      </c>
      <c r="E63" s="2">
        <v>10.99</v>
      </c>
      <c r="F63" s="1">
        <v>109.99</v>
      </c>
      <c r="G63" s="1">
        <v>2019.0</v>
      </c>
      <c r="H63" s="1">
        <v>0.6</v>
      </c>
      <c r="I63" s="1" t="s">
        <v>226</v>
      </c>
      <c r="J63" s="1" t="s">
        <v>58</v>
      </c>
      <c r="K63" s="1" t="b">
        <v>0</v>
      </c>
      <c r="L63" s="1" t="s">
        <v>227</v>
      </c>
      <c r="M63" s="1">
        <v>25.6</v>
      </c>
      <c r="N63" s="1">
        <v>25.1</v>
      </c>
      <c r="O63" s="1">
        <v>24.1</v>
      </c>
      <c r="P63" s="1">
        <v>20.7</v>
      </c>
      <c r="Q63" s="1">
        <v>11.9</v>
      </c>
      <c r="R63" s="1">
        <v>7.4</v>
      </c>
      <c r="S63" s="1">
        <v>28.8</v>
      </c>
      <c r="T63" s="1">
        <v>24.6</v>
      </c>
      <c r="U63" s="1">
        <v>10.9</v>
      </c>
      <c r="V63" s="1">
        <v>8.9</v>
      </c>
      <c r="W63" s="1">
        <v>4.4</v>
      </c>
      <c r="X63" s="1">
        <v>5.2</v>
      </c>
      <c r="Y63" s="1" t="s">
        <v>115</v>
      </c>
      <c r="Z63" s="1">
        <v>9.89</v>
      </c>
      <c r="AA63" s="3">
        <v>2.7</v>
      </c>
      <c r="AB63" s="1">
        <v>0.2</v>
      </c>
      <c r="AC63" s="1">
        <v>0.3</v>
      </c>
      <c r="AD63" s="1">
        <v>0.4</v>
      </c>
      <c r="AE63" s="1">
        <v>0.5</v>
      </c>
      <c r="AF63" s="1">
        <v>0.6</v>
      </c>
      <c r="AG63" s="5">
        <f t="array" ref="AG63">XLOOKUP(A63, predicciones!G:G, predicciones!B:B, "No encontrado")</f>
        <v>0.9603909316</v>
      </c>
      <c r="AH63" s="5">
        <f t="shared" si="1"/>
        <v>0.3603909316</v>
      </c>
      <c r="AI63" s="6" t="str">
        <f t="array" ref="AI63">XLOOKUP(L63, Free_Streaming!L:L, Free_Streaming!A:A, "Sin servicio gratis")</f>
        <v>Sin servicio gratis</v>
      </c>
      <c r="AJ63" s="5">
        <f t="shared" si="2"/>
        <v>5.934</v>
      </c>
    </row>
    <row r="64">
      <c r="A64" s="1" t="s">
        <v>228</v>
      </c>
      <c r="B64" s="1" t="s">
        <v>100</v>
      </c>
      <c r="C64" s="1" t="s">
        <v>38</v>
      </c>
      <c r="D64" s="1" t="s">
        <v>95</v>
      </c>
      <c r="E64" s="2">
        <v>9.99</v>
      </c>
      <c r="F64" s="1">
        <v>99.99</v>
      </c>
      <c r="G64" s="1">
        <v>2016.0</v>
      </c>
      <c r="H64" s="1">
        <v>0.5</v>
      </c>
      <c r="I64" s="1" t="s">
        <v>229</v>
      </c>
      <c r="J64" s="1" t="s">
        <v>58</v>
      </c>
      <c r="K64" s="1" t="b">
        <v>0</v>
      </c>
      <c r="L64" s="1" t="s">
        <v>230</v>
      </c>
      <c r="M64" s="1">
        <v>11.1</v>
      </c>
      <c r="N64" s="1">
        <v>32.5</v>
      </c>
      <c r="O64" s="1">
        <v>15.5</v>
      </c>
      <c r="P64" s="1">
        <v>22.1</v>
      </c>
      <c r="Q64" s="1">
        <v>10.7</v>
      </c>
      <c r="R64" s="1">
        <v>10.8</v>
      </c>
      <c r="S64" s="1">
        <v>33.9</v>
      </c>
      <c r="T64" s="1">
        <v>28.1</v>
      </c>
      <c r="U64" s="1">
        <v>10.7</v>
      </c>
      <c r="V64" s="1">
        <v>8.0</v>
      </c>
      <c r="W64" s="1">
        <v>7.1</v>
      </c>
      <c r="X64" s="1">
        <v>1.9</v>
      </c>
      <c r="Y64" s="1" t="s">
        <v>115</v>
      </c>
      <c r="Z64" s="1">
        <v>10.63</v>
      </c>
      <c r="AA64" s="3">
        <v>2.7</v>
      </c>
      <c r="AB64" s="1">
        <v>0.2</v>
      </c>
      <c r="AC64" s="1">
        <v>0.3</v>
      </c>
      <c r="AD64" s="1">
        <v>0.4</v>
      </c>
      <c r="AE64" s="1">
        <v>0.4</v>
      </c>
      <c r="AF64" s="1">
        <v>0.5</v>
      </c>
      <c r="AG64" s="5">
        <f t="array" ref="AG64">XLOOKUP(A64, predicciones!G:G, predicciones!B:B, "No encontrado")</f>
        <v>0.8003257764</v>
      </c>
      <c r="AH64" s="5">
        <f t="shared" si="1"/>
        <v>0.3003257764</v>
      </c>
      <c r="AI64" s="6" t="str">
        <f t="array" ref="AI64">XLOOKUP(L64, Free_Streaming!L:L, Free_Streaming!A:A, "Sin servicio gratis")</f>
        <v>Sin servicio gratis</v>
      </c>
      <c r="AJ64" s="5">
        <f t="shared" si="2"/>
        <v>5.315</v>
      </c>
    </row>
    <row r="65">
      <c r="A65" s="1" t="s">
        <v>231</v>
      </c>
      <c r="B65" s="1" t="s">
        <v>100</v>
      </c>
      <c r="C65" s="1" t="s">
        <v>38</v>
      </c>
      <c r="D65" s="1" t="s">
        <v>161</v>
      </c>
      <c r="E65" s="2">
        <v>9.99</v>
      </c>
      <c r="F65" s="1">
        <v>99.99</v>
      </c>
      <c r="G65" s="1">
        <v>2012.0</v>
      </c>
      <c r="H65" s="1">
        <v>0.5</v>
      </c>
      <c r="I65" s="1" t="s">
        <v>232</v>
      </c>
      <c r="J65" s="1" t="s">
        <v>58</v>
      </c>
      <c r="K65" s="1" t="b">
        <v>0</v>
      </c>
      <c r="L65" s="1" t="s">
        <v>127</v>
      </c>
      <c r="M65" s="1">
        <v>21.1</v>
      </c>
      <c r="N65" s="1">
        <v>35.1</v>
      </c>
      <c r="O65" s="1">
        <v>23.5</v>
      </c>
      <c r="P65" s="1">
        <v>20.9</v>
      </c>
      <c r="Q65" s="1">
        <v>12.4</v>
      </c>
      <c r="R65" s="1">
        <v>5.1</v>
      </c>
      <c r="S65" s="1">
        <v>32.1</v>
      </c>
      <c r="T65" s="1">
        <v>23.3</v>
      </c>
      <c r="U65" s="1">
        <v>16.5</v>
      </c>
      <c r="V65" s="1">
        <v>11.0</v>
      </c>
      <c r="W65" s="1">
        <v>6.2</v>
      </c>
      <c r="X65" s="1">
        <v>2.7</v>
      </c>
      <c r="Y65" s="1" t="s">
        <v>115</v>
      </c>
      <c r="Z65" s="1">
        <v>9.02</v>
      </c>
      <c r="AA65" s="3">
        <v>2.4</v>
      </c>
      <c r="AB65" s="1">
        <v>0.3</v>
      </c>
      <c r="AC65" s="1">
        <v>0.3</v>
      </c>
      <c r="AD65" s="1">
        <v>0.4</v>
      </c>
      <c r="AE65" s="1">
        <v>0.5</v>
      </c>
      <c r="AF65" s="1">
        <v>0.5</v>
      </c>
      <c r="AG65" s="5">
        <f t="array" ref="AG65">XLOOKUP(A65, predicciones!G:G, predicciones!B:B, "No encontrado")</f>
        <v>0.8008722728</v>
      </c>
      <c r="AH65" s="5">
        <f t="shared" si="1"/>
        <v>0.3008722728</v>
      </c>
      <c r="AI65" s="6" t="str">
        <f t="array" ref="AI65">XLOOKUP(L65, Free_Streaming!L:L, Free_Streaming!A:A, "Sin servicio gratis")</f>
        <v>Sin servicio gratis</v>
      </c>
      <c r="AJ65" s="5">
        <f t="shared" si="2"/>
        <v>4.51</v>
      </c>
    </row>
    <row r="66">
      <c r="A66" s="1" t="s">
        <v>233</v>
      </c>
      <c r="B66" s="1" t="s">
        <v>100</v>
      </c>
      <c r="C66" s="1" t="s">
        <v>38</v>
      </c>
      <c r="D66" s="1" t="s">
        <v>95</v>
      </c>
      <c r="E66" s="2">
        <v>4.99</v>
      </c>
      <c r="F66" s="1">
        <v>49.99</v>
      </c>
      <c r="G66" s="1">
        <v>2011.0</v>
      </c>
      <c r="H66" s="1">
        <v>0.5</v>
      </c>
      <c r="I66" s="1" t="s">
        <v>234</v>
      </c>
      <c r="J66" s="1" t="s">
        <v>58</v>
      </c>
      <c r="K66" s="1" t="b">
        <v>0</v>
      </c>
      <c r="L66" s="1" t="s">
        <v>235</v>
      </c>
      <c r="M66" s="1">
        <v>19.4</v>
      </c>
      <c r="N66" s="1">
        <v>38.4</v>
      </c>
      <c r="O66" s="1">
        <v>29.4</v>
      </c>
      <c r="P66" s="1">
        <v>22.7</v>
      </c>
      <c r="Q66" s="1">
        <v>12.9</v>
      </c>
      <c r="R66" s="1">
        <v>7.2</v>
      </c>
      <c r="S66" s="1">
        <v>40.2</v>
      </c>
      <c r="T66" s="1">
        <v>27.7</v>
      </c>
      <c r="U66" s="1">
        <v>14.8</v>
      </c>
      <c r="V66" s="1">
        <v>10.5</v>
      </c>
      <c r="W66" s="1">
        <v>10.5</v>
      </c>
      <c r="X66" s="1">
        <v>6.7</v>
      </c>
      <c r="Y66" s="1" t="s">
        <v>115</v>
      </c>
      <c r="Z66" s="1">
        <v>4.59</v>
      </c>
      <c r="AA66" s="3">
        <v>2.4</v>
      </c>
      <c r="AB66" s="1">
        <v>0.3</v>
      </c>
      <c r="AC66" s="1">
        <v>0.4</v>
      </c>
      <c r="AD66" s="1">
        <v>0.4</v>
      </c>
      <c r="AE66" s="1">
        <v>0.5</v>
      </c>
      <c r="AF66" s="1">
        <v>0.5</v>
      </c>
      <c r="AG66" s="5">
        <f t="array" ref="AG66">XLOOKUP(A66, predicciones!G:G, predicciones!B:B, "No encontrado")</f>
        <v>0.8008722728</v>
      </c>
      <c r="AH66" s="5">
        <f t="shared" si="1"/>
        <v>0.3008722728</v>
      </c>
      <c r="AI66" s="6" t="str">
        <f t="array" ref="AI66">XLOOKUP(L66, Free_Streaming!L:L, Free_Streaming!A:A, "Sin servicio gratis")</f>
        <v>Sin servicio gratis</v>
      </c>
      <c r="AJ66" s="5">
        <f t="shared" si="2"/>
        <v>2.295</v>
      </c>
    </row>
    <row r="67">
      <c r="A67" s="1" t="s">
        <v>236</v>
      </c>
      <c r="B67" s="1" t="s">
        <v>138</v>
      </c>
      <c r="C67" s="1" t="s">
        <v>38</v>
      </c>
      <c r="D67" s="1" t="s">
        <v>95</v>
      </c>
      <c r="E67" s="2">
        <v>6.99</v>
      </c>
      <c r="F67" s="1">
        <v>69.99</v>
      </c>
      <c r="G67" s="1">
        <v>2017.0</v>
      </c>
      <c r="H67" s="1">
        <v>0.5</v>
      </c>
      <c r="I67" s="1" t="s">
        <v>237</v>
      </c>
      <c r="J67" s="1" t="s">
        <v>58</v>
      </c>
      <c r="K67" s="1" t="b">
        <v>0</v>
      </c>
      <c r="L67" s="1" t="s">
        <v>236</v>
      </c>
      <c r="M67" s="1">
        <v>22.4</v>
      </c>
      <c r="N67" s="1">
        <v>21.5</v>
      </c>
      <c r="O67" s="1">
        <v>24.0</v>
      </c>
      <c r="P67" s="1">
        <v>14.9</v>
      </c>
      <c r="Q67" s="1">
        <v>9.8</v>
      </c>
      <c r="R67" s="1">
        <v>7.5</v>
      </c>
      <c r="S67" s="1">
        <v>31.4</v>
      </c>
      <c r="T67" s="1">
        <v>22.3</v>
      </c>
      <c r="U67" s="1">
        <v>19.2</v>
      </c>
      <c r="V67" s="1">
        <v>14.7</v>
      </c>
      <c r="W67" s="1">
        <v>10.2</v>
      </c>
      <c r="X67" s="1">
        <v>6.2</v>
      </c>
      <c r="Y67" s="1" t="s">
        <v>115</v>
      </c>
      <c r="Z67" s="1">
        <v>6.98</v>
      </c>
      <c r="AA67" s="3">
        <v>2.7</v>
      </c>
      <c r="AB67" s="1">
        <v>0.2</v>
      </c>
      <c r="AC67" s="1">
        <v>0.3</v>
      </c>
      <c r="AD67" s="1">
        <v>0.4</v>
      </c>
      <c r="AE67" s="1">
        <v>0.4</v>
      </c>
      <c r="AF67" s="1">
        <v>0.5</v>
      </c>
      <c r="AG67" s="5">
        <f t="array" ref="AG67">XLOOKUP(A67, predicciones!G:G, predicciones!B:B, "No encontrado")</f>
        <v>0.7309980575</v>
      </c>
      <c r="AH67" s="5">
        <f t="shared" si="1"/>
        <v>0.2309980575</v>
      </c>
      <c r="AI67" s="6" t="str">
        <f t="array" ref="AI67">XLOOKUP(L67, Free_Streaming!L:L, Free_Streaming!A:A, "Sin servicio gratis")</f>
        <v>Sin servicio gratis</v>
      </c>
      <c r="AJ67" s="5">
        <f t="shared" si="2"/>
        <v>3.49</v>
      </c>
    </row>
    <row r="68">
      <c r="A68" s="1" t="s">
        <v>238</v>
      </c>
      <c r="B68" s="1" t="s">
        <v>100</v>
      </c>
      <c r="C68" s="1" t="s">
        <v>38</v>
      </c>
      <c r="D68" s="1" t="s">
        <v>239</v>
      </c>
      <c r="E68" s="2">
        <v>7.99</v>
      </c>
      <c r="F68" s="1">
        <v>79.99</v>
      </c>
      <c r="G68" s="1">
        <v>2014.0</v>
      </c>
      <c r="H68" s="1">
        <v>0.5</v>
      </c>
      <c r="I68" s="1" t="s">
        <v>117</v>
      </c>
      <c r="J68" s="1" t="s">
        <v>58</v>
      </c>
      <c r="K68" s="1" t="b">
        <v>0</v>
      </c>
      <c r="L68" s="1" t="s">
        <v>240</v>
      </c>
      <c r="M68" s="1">
        <v>20.2</v>
      </c>
      <c r="N68" s="1">
        <v>29.4</v>
      </c>
      <c r="O68" s="1">
        <v>26.8</v>
      </c>
      <c r="P68" s="1">
        <v>13.5</v>
      </c>
      <c r="Q68" s="1">
        <v>11.1</v>
      </c>
      <c r="R68" s="1">
        <v>3.6</v>
      </c>
      <c r="S68" s="1">
        <v>33.9</v>
      </c>
      <c r="T68" s="1">
        <v>20.5</v>
      </c>
      <c r="U68" s="1">
        <v>10.8</v>
      </c>
      <c r="V68" s="1">
        <v>8.1</v>
      </c>
      <c r="W68" s="1">
        <v>3.6</v>
      </c>
      <c r="X68" s="1">
        <v>3.1</v>
      </c>
      <c r="Y68" s="1" t="s">
        <v>115</v>
      </c>
      <c r="Z68" s="1">
        <v>8.98</v>
      </c>
      <c r="AA68" s="3">
        <v>2.4</v>
      </c>
      <c r="AB68" s="1">
        <v>0.3</v>
      </c>
      <c r="AC68" s="1">
        <v>0.3</v>
      </c>
      <c r="AD68" s="1">
        <v>0.4</v>
      </c>
      <c r="AE68" s="1">
        <v>0.4</v>
      </c>
      <c r="AF68" s="1">
        <v>0.5</v>
      </c>
      <c r="AG68" s="5">
        <f t="array" ref="AG68">XLOOKUP(A68, predicciones!G:G, predicciones!B:B, "No encontrado")</f>
        <v>0.8008722728</v>
      </c>
      <c r="AH68" s="5">
        <f t="shared" si="1"/>
        <v>0.3008722728</v>
      </c>
      <c r="AI68" s="6" t="str">
        <f t="array" ref="AI68">XLOOKUP(L68, Free_Streaming!L:L, Free_Streaming!A:A, "Sin servicio gratis")</f>
        <v>Sin servicio gratis</v>
      </c>
      <c r="AJ68" s="5">
        <f t="shared" si="2"/>
        <v>4.49</v>
      </c>
    </row>
    <row r="69">
      <c r="A69" s="1" t="s">
        <v>241</v>
      </c>
      <c r="B69" s="1" t="s">
        <v>100</v>
      </c>
      <c r="C69" s="1" t="s">
        <v>38</v>
      </c>
      <c r="D69" s="1" t="s">
        <v>242</v>
      </c>
      <c r="E69" s="2">
        <v>4.99</v>
      </c>
      <c r="F69" s="1">
        <v>49.99</v>
      </c>
      <c r="G69" s="1">
        <v>2021.0</v>
      </c>
      <c r="H69" s="1">
        <v>0.3</v>
      </c>
      <c r="I69" s="1" t="s">
        <v>243</v>
      </c>
      <c r="J69" s="1" t="s">
        <v>58</v>
      </c>
      <c r="K69" s="1" t="b">
        <v>0</v>
      </c>
      <c r="L69" s="1" t="s">
        <v>244</v>
      </c>
      <c r="M69" s="1">
        <v>16.1</v>
      </c>
      <c r="N69" s="1">
        <v>27.4</v>
      </c>
      <c r="O69" s="1">
        <v>21.7</v>
      </c>
      <c r="P69" s="1">
        <v>12.6</v>
      </c>
      <c r="Q69" s="1">
        <v>10.2</v>
      </c>
      <c r="R69" s="1">
        <v>3.4</v>
      </c>
      <c r="S69" s="1">
        <v>33.2</v>
      </c>
      <c r="T69" s="1">
        <v>22.3</v>
      </c>
      <c r="U69" s="1">
        <v>20.4</v>
      </c>
      <c r="V69" s="1">
        <v>16.3</v>
      </c>
      <c r="W69" s="1">
        <v>9.0</v>
      </c>
      <c r="X69" s="1">
        <v>5.3</v>
      </c>
      <c r="Y69" s="1" t="s">
        <v>115</v>
      </c>
      <c r="Z69" s="1">
        <v>4.56</v>
      </c>
      <c r="AA69" s="3">
        <v>3.0</v>
      </c>
      <c r="AB69" s="1">
        <v>0.0</v>
      </c>
      <c r="AC69" s="1">
        <v>0.0</v>
      </c>
      <c r="AD69" s="1">
        <v>0.2</v>
      </c>
      <c r="AE69" s="1">
        <v>0.2</v>
      </c>
      <c r="AF69" s="1">
        <v>0.3</v>
      </c>
      <c r="AG69" s="5">
        <f t="array" ref="AG69">XLOOKUP(A69, predicciones!G:G, predicciones!B:B, "No encontrado")</f>
        <v>0.7372113395</v>
      </c>
      <c r="AH69" s="5">
        <f t="shared" si="1"/>
        <v>0.4372113395</v>
      </c>
      <c r="AI69" s="6" t="str">
        <f t="array" ref="AI69">XLOOKUP(L69, Free_Streaming!L:L, Free_Streaming!A:A, "Sin servicio gratis")</f>
        <v>Sin servicio gratis</v>
      </c>
      <c r="AJ69" s="5">
        <f t="shared" si="2"/>
        <v>1.368</v>
      </c>
    </row>
    <row r="70">
      <c r="A70" s="1" t="s">
        <v>245</v>
      </c>
      <c r="B70" s="1" t="s">
        <v>100</v>
      </c>
      <c r="C70" s="1" t="s">
        <v>38</v>
      </c>
      <c r="D70" s="1" t="s">
        <v>95</v>
      </c>
      <c r="E70" s="2">
        <v>4.99</v>
      </c>
      <c r="F70" s="1">
        <v>49.99</v>
      </c>
      <c r="G70" s="1">
        <v>2017.0</v>
      </c>
      <c r="H70" s="1">
        <v>0.3</v>
      </c>
      <c r="I70" s="1" t="s">
        <v>117</v>
      </c>
      <c r="J70" s="1" t="s">
        <v>58</v>
      </c>
      <c r="K70" s="1" t="b">
        <v>0</v>
      </c>
      <c r="L70" s="1" t="s">
        <v>46</v>
      </c>
      <c r="M70" s="1">
        <v>21.3</v>
      </c>
      <c r="N70" s="1">
        <v>32.0</v>
      </c>
      <c r="O70" s="1">
        <v>20.2</v>
      </c>
      <c r="P70" s="1">
        <v>27.3</v>
      </c>
      <c r="Q70" s="1">
        <v>7.9</v>
      </c>
      <c r="R70" s="1">
        <v>4.6</v>
      </c>
      <c r="S70" s="1">
        <v>32.8</v>
      </c>
      <c r="T70" s="1">
        <v>24.9</v>
      </c>
      <c r="U70" s="1">
        <v>13.0</v>
      </c>
      <c r="V70" s="1">
        <v>13.1</v>
      </c>
      <c r="W70" s="1">
        <v>11.0</v>
      </c>
      <c r="X70" s="1">
        <v>7.5</v>
      </c>
      <c r="Y70" s="1" t="s">
        <v>115</v>
      </c>
      <c r="Z70" s="1">
        <v>4.46</v>
      </c>
      <c r="AA70" s="3">
        <v>2.7</v>
      </c>
      <c r="AB70" s="1">
        <v>0.1</v>
      </c>
      <c r="AC70" s="1">
        <v>0.2</v>
      </c>
      <c r="AD70" s="1">
        <v>0.2</v>
      </c>
      <c r="AE70" s="1">
        <v>0.3</v>
      </c>
      <c r="AF70" s="1">
        <v>0.3</v>
      </c>
      <c r="AG70" s="5">
        <f t="array" ref="AG70">XLOOKUP(A70, predicciones!G:G, predicciones!B:B, "No encontrado")</f>
        <v>0.4801954658</v>
      </c>
      <c r="AH70" s="5">
        <f t="shared" si="1"/>
        <v>0.1801954658</v>
      </c>
      <c r="AI70" s="6" t="str">
        <f t="array" ref="AI70">XLOOKUP(L70, Free_Streaming!L:L, Free_Streaming!A:A, "Sin servicio gratis")</f>
        <v>Freevee (IMDb TV)</v>
      </c>
      <c r="AJ70" s="5">
        <f t="shared" si="2"/>
        <v>1.338</v>
      </c>
    </row>
    <row r="71">
      <c r="A71" s="1" t="s">
        <v>246</v>
      </c>
      <c r="B71" s="1" t="s">
        <v>138</v>
      </c>
      <c r="C71" s="1" t="s">
        <v>38</v>
      </c>
      <c r="D71" s="1" t="s">
        <v>95</v>
      </c>
      <c r="E71" s="2">
        <v>69.99</v>
      </c>
      <c r="F71" s="1">
        <v>699.99</v>
      </c>
      <c r="G71" s="1">
        <v>2019.0</v>
      </c>
      <c r="H71" s="1">
        <v>0.3</v>
      </c>
      <c r="I71" s="1" t="s">
        <v>203</v>
      </c>
      <c r="J71" s="1" t="s">
        <v>58</v>
      </c>
      <c r="K71" s="1" t="b">
        <v>0</v>
      </c>
      <c r="L71" s="1" t="s">
        <v>247</v>
      </c>
      <c r="M71" s="1">
        <v>18.8</v>
      </c>
      <c r="N71" s="1">
        <v>25.4</v>
      </c>
      <c r="O71" s="1">
        <v>19.1</v>
      </c>
      <c r="P71" s="1">
        <v>12.6</v>
      </c>
      <c r="Q71" s="1">
        <v>11.1</v>
      </c>
      <c r="R71" s="1">
        <v>2.3</v>
      </c>
      <c r="S71" s="1">
        <v>34.3</v>
      </c>
      <c r="T71" s="1">
        <v>24.2</v>
      </c>
      <c r="U71" s="1">
        <v>15.2</v>
      </c>
      <c r="V71" s="1">
        <v>13.3</v>
      </c>
      <c r="W71" s="1">
        <v>6.8</v>
      </c>
      <c r="X71" s="1">
        <v>5.9</v>
      </c>
      <c r="Y71" s="1" t="s">
        <v>115</v>
      </c>
      <c r="Z71" s="1">
        <v>75.43</v>
      </c>
      <c r="AA71" s="3">
        <v>2.7</v>
      </c>
      <c r="AB71" s="1">
        <v>0.1</v>
      </c>
      <c r="AC71" s="1">
        <v>0.2</v>
      </c>
      <c r="AD71" s="1">
        <v>0.2</v>
      </c>
      <c r="AE71" s="1">
        <v>0.2</v>
      </c>
      <c r="AF71" s="1">
        <v>0.3</v>
      </c>
      <c r="AG71" s="5">
        <f t="array" ref="AG71">XLOOKUP(A71, predicciones!G:G, predicciones!B:B, "No encontrado")</f>
        <v>0.4385988345</v>
      </c>
      <c r="AH71" s="5">
        <f t="shared" si="1"/>
        <v>0.1385988345</v>
      </c>
      <c r="AI71" s="6" t="str">
        <f t="array" ref="AI71">XLOOKUP(L71, Free_Streaming!L:L, Free_Streaming!A:A, "Sin servicio gratis")</f>
        <v>Sin servicio gratis</v>
      </c>
      <c r="AJ71" s="5">
        <f t="shared" si="2"/>
        <v>22.629</v>
      </c>
    </row>
    <row r="72">
      <c r="A72" s="1" t="s">
        <v>248</v>
      </c>
      <c r="B72" s="1" t="s">
        <v>100</v>
      </c>
      <c r="C72" s="1" t="s">
        <v>38</v>
      </c>
      <c r="D72" s="1" t="s">
        <v>213</v>
      </c>
      <c r="E72" s="2">
        <v>4.99</v>
      </c>
      <c r="F72" s="1">
        <v>49.99</v>
      </c>
      <c r="G72" s="1">
        <v>2017.0</v>
      </c>
      <c r="H72" s="1">
        <v>0.3</v>
      </c>
      <c r="I72" s="1" t="s">
        <v>117</v>
      </c>
      <c r="J72" s="1" t="s">
        <v>58</v>
      </c>
      <c r="K72" s="1" t="b">
        <v>0</v>
      </c>
      <c r="L72" s="1" t="s">
        <v>249</v>
      </c>
      <c r="M72" s="1">
        <v>21.7</v>
      </c>
      <c r="N72" s="1">
        <v>23.5</v>
      </c>
      <c r="O72" s="1">
        <v>18.2</v>
      </c>
      <c r="P72" s="1">
        <v>23.5</v>
      </c>
      <c r="Q72" s="1">
        <v>9.7</v>
      </c>
      <c r="R72" s="1">
        <v>11.0</v>
      </c>
      <c r="S72" s="1">
        <v>33.4</v>
      </c>
      <c r="T72" s="1">
        <v>23.3</v>
      </c>
      <c r="U72" s="1">
        <v>13.7</v>
      </c>
      <c r="V72" s="1">
        <v>15.9</v>
      </c>
      <c r="W72" s="1">
        <v>5.5</v>
      </c>
      <c r="X72" s="1">
        <v>4.5</v>
      </c>
      <c r="Y72" s="1" t="s">
        <v>115</v>
      </c>
      <c r="Z72" s="1">
        <v>4.99</v>
      </c>
      <c r="AA72" s="3">
        <v>2.7</v>
      </c>
      <c r="AB72" s="1">
        <v>0.1</v>
      </c>
      <c r="AC72" s="1">
        <v>0.2</v>
      </c>
      <c r="AD72" s="1">
        <v>0.2</v>
      </c>
      <c r="AE72" s="1">
        <v>0.3</v>
      </c>
      <c r="AF72" s="1">
        <v>0.3</v>
      </c>
      <c r="AG72" s="5">
        <f t="array" ref="AG72">XLOOKUP(A72, predicciones!G:G, predicciones!B:B, "No encontrado")</f>
        <v>0.4801954658</v>
      </c>
      <c r="AH72" s="5">
        <f t="shared" si="1"/>
        <v>0.1801954658</v>
      </c>
      <c r="AI72" s="6" t="str">
        <f t="array" ref="AI72">XLOOKUP(L72, Free_Streaming!L:L, Free_Streaming!A:A, "Sin servicio gratis")</f>
        <v>Sin servicio gratis</v>
      </c>
      <c r="AJ72" s="5">
        <f t="shared" si="2"/>
        <v>1.497</v>
      </c>
    </row>
    <row r="73">
      <c r="A73" s="1" t="s">
        <v>250</v>
      </c>
      <c r="B73" s="1" t="s">
        <v>100</v>
      </c>
      <c r="C73" s="1" t="s">
        <v>38</v>
      </c>
      <c r="D73" s="1" t="s">
        <v>251</v>
      </c>
      <c r="E73" s="2">
        <v>4.99</v>
      </c>
      <c r="F73" s="1">
        <v>49.99</v>
      </c>
      <c r="G73" s="1">
        <v>2009.0</v>
      </c>
      <c r="H73" s="1">
        <v>0.2</v>
      </c>
      <c r="I73" s="1" t="s">
        <v>117</v>
      </c>
      <c r="J73" s="1" t="s">
        <v>58</v>
      </c>
      <c r="K73" s="1" t="b">
        <v>0</v>
      </c>
      <c r="L73" s="1" t="s">
        <v>252</v>
      </c>
      <c r="M73" s="1">
        <v>16.3</v>
      </c>
      <c r="N73" s="1">
        <v>24.8</v>
      </c>
      <c r="O73" s="1">
        <v>24.2</v>
      </c>
      <c r="P73" s="1">
        <v>17.8</v>
      </c>
      <c r="Q73" s="1">
        <v>10.7</v>
      </c>
      <c r="R73" s="1">
        <v>4.5</v>
      </c>
      <c r="S73" s="1">
        <v>35.0</v>
      </c>
      <c r="T73" s="1">
        <v>26.1</v>
      </c>
      <c r="U73" s="1">
        <v>14.1</v>
      </c>
      <c r="V73" s="1">
        <v>9.3</v>
      </c>
      <c r="W73" s="1">
        <v>9.9</v>
      </c>
      <c r="X73" s="1">
        <v>3.9</v>
      </c>
      <c r="Y73" s="1" t="s">
        <v>115</v>
      </c>
      <c r="Z73" s="1">
        <v>5.61</v>
      </c>
      <c r="AA73" s="3">
        <v>2.4</v>
      </c>
      <c r="AB73" s="1">
        <v>0.1</v>
      </c>
      <c r="AC73" s="1">
        <v>0.2</v>
      </c>
      <c r="AD73" s="1">
        <v>0.2</v>
      </c>
      <c r="AE73" s="1">
        <v>0.2</v>
      </c>
      <c r="AF73" s="1">
        <v>0.2</v>
      </c>
      <c r="AG73" s="5">
        <f t="array" ref="AG73">XLOOKUP(A73, predicciones!G:G, predicciones!B:B, "No encontrado")</f>
        <v>0.3203489091</v>
      </c>
      <c r="AH73" s="5">
        <f t="shared" si="1"/>
        <v>0.1203489091</v>
      </c>
      <c r="AI73" s="6" t="str">
        <f t="array" ref="AI73">XLOOKUP(L73, Free_Streaming!L:L, Free_Streaming!A:A, "Sin servicio gratis")</f>
        <v>Sin servicio gratis</v>
      </c>
      <c r="AJ73" s="5">
        <f t="shared" si="2"/>
        <v>1.122</v>
      </c>
    </row>
    <row r="74">
      <c r="A74" s="1" t="s">
        <v>253</v>
      </c>
      <c r="B74" s="1" t="s">
        <v>100</v>
      </c>
      <c r="C74" s="1" t="s">
        <v>38</v>
      </c>
      <c r="D74" s="1" t="s">
        <v>254</v>
      </c>
      <c r="E74" s="2">
        <v>4.99</v>
      </c>
      <c r="F74" s="1">
        <v>49.99</v>
      </c>
      <c r="G74" s="1">
        <v>2016.0</v>
      </c>
      <c r="H74" s="1">
        <v>0.15</v>
      </c>
      <c r="I74" s="1" t="s">
        <v>117</v>
      </c>
      <c r="J74" s="1" t="s">
        <v>58</v>
      </c>
      <c r="K74" s="1" t="b">
        <v>0</v>
      </c>
      <c r="L74" s="1" t="s">
        <v>255</v>
      </c>
      <c r="M74" s="1">
        <v>20.3</v>
      </c>
      <c r="N74" s="1">
        <v>23.5</v>
      </c>
      <c r="O74" s="1">
        <v>30.7</v>
      </c>
      <c r="P74" s="1">
        <v>14.6</v>
      </c>
      <c r="Q74" s="1">
        <v>6.4</v>
      </c>
      <c r="R74" s="1">
        <v>3.4</v>
      </c>
      <c r="S74" s="1">
        <v>34.3</v>
      </c>
      <c r="T74" s="1">
        <v>30.8</v>
      </c>
      <c r="U74" s="1">
        <v>13.2</v>
      </c>
      <c r="V74" s="1">
        <v>9.2</v>
      </c>
      <c r="W74" s="1">
        <v>6.2</v>
      </c>
      <c r="X74" s="1">
        <v>2.2</v>
      </c>
      <c r="Y74" s="1" t="s">
        <v>115</v>
      </c>
      <c r="Z74" s="1">
        <v>4.46</v>
      </c>
      <c r="AA74" s="3">
        <v>2.7</v>
      </c>
      <c r="AB74" s="1">
        <v>0.1</v>
      </c>
      <c r="AC74" s="1">
        <v>0.1</v>
      </c>
      <c r="AD74" s="1">
        <v>0.1</v>
      </c>
      <c r="AE74" s="1">
        <v>0.1</v>
      </c>
      <c r="AF74" s="1">
        <v>0.1</v>
      </c>
      <c r="AG74" s="5">
        <f t="array" ref="AG74">XLOOKUP(A74, predicciones!G:G, predicciones!B:B, "No encontrado")</f>
        <v>0.2400977329</v>
      </c>
      <c r="AH74" s="5">
        <f t="shared" si="1"/>
        <v>0.09009773291</v>
      </c>
      <c r="AI74" s="6" t="str">
        <f t="array" ref="AI74">XLOOKUP(L74, Free_Streaming!L:L, Free_Streaming!A:A, "Sin servicio gratis")</f>
        <v>Sin servicio gratis</v>
      </c>
      <c r="AJ74" s="5">
        <f t="shared" si="2"/>
        <v>0.669</v>
      </c>
    </row>
    <row r="75">
      <c r="A75" s="1" t="s">
        <v>256</v>
      </c>
      <c r="B75" s="1" t="s">
        <v>100</v>
      </c>
      <c r="C75" s="1" t="s">
        <v>38</v>
      </c>
      <c r="D75" s="1" t="s">
        <v>257</v>
      </c>
      <c r="E75" s="2">
        <v>4.99</v>
      </c>
      <c r="F75" s="1">
        <v>49.99</v>
      </c>
      <c r="G75" s="1">
        <v>2011.0</v>
      </c>
      <c r="H75" s="1">
        <v>0.1</v>
      </c>
      <c r="I75" s="1" t="s">
        <v>117</v>
      </c>
      <c r="J75" s="1" t="s">
        <v>58</v>
      </c>
      <c r="K75" s="1" t="b">
        <v>0</v>
      </c>
      <c r="L75" s="1" t="s">
        <v>258</v>
      </c>
      <c r="M75" s="1">
        <v>20.8</v>
      </c>
      <c r="N75" s="1">
        <v>26.0</v>
      </c>
      <c r="O75" s="1">
        <v>21.7</v>
      </c>
      <c r="P75" s="1">
        <v>14.0</v>
      </c>
      <c r="Q75" s="1">
        <v>13.5</v>
      </c>
      <c r="R75" s="1">
        <v>8.3</v>
      </c>
      <c r="S75" s="1">
        <v>34.7</v>
      </c>
      <c r="T75" s="1">
        <v>22.6</v>
      </c>
      <c r="U75" s="1">
        <v>11.4</v>
      </c>
      <c r="V75" s="1">
        <v>17.1</v>
      </c>
      <c r="W75" s="1">
        <v>3.1</v>
      </c>
      <c r="X75" s="1">
        <v>4.4</v>
      </c>
      <c r="Y75" s="1" t="s">
        <v>115</v>
      </c>
      <c r="Z75" s="1">
        <v>5.21</v>
      </c>
      <c r="AA75" s="3">
        <v>2.4</v>
      </c>
      <c r="AB75" s="1">
        <v>0.1</v>
      </c>
      <c r="AC75" s="1">
        <v>0.1</v>
      </c>
      <c r="AD75" s="1">
        <v>0.1</v>
      </c>
      <c r="AE75" s="1">
        <v>0.1</v>
      </c>
      <c r="AF75" s="1">
        <v>0.1</v>
      </c>
      <c r="AG75" s="5">
        <f t="array" ref="AG75">XLOOKUP(A75, predicciones!G:G, predicciones!B:B, "No encontrado")</f>
        <v>0.1601744546</v>
      </c>
      <c r="AH75" s="5">
        <f t="shared" si="1"/>
        <v>0.06017445455</v>
      </c>
      <c r="AI75" s="6" t="str">
        <f t="array" ref="AI75">XLOOKUP(L75, Free_Streaming!L:L, Free_Streaming!A:A, "Sin servicio gratis")</f>
        <v>Sin servicio gratis</v>
      </c>
      <c r="AJ75" s="5">
        <f t="shared" si="2"/>
        <v>0.521</v>
      </c>
    </row>
    <row r="76">
      <c r="A76" s="1" t="s">
        <v>259</v>
      </c>
      <c r="B76" s="1" t="s">
        <v>56</v>
      </c>
      <c r="C76" s="1" t="s">
        <v>38</v>
      </c>
      <c r="D76" s="1" t="s">
        <v>192</v>
      </c>
      <c r="E76" s="2">
        <v>2.99</v>
      </c>
      <c r="F76" s="1">
        <v>29.99</v>
      </c>
      <c r="G76" s="1">
        <v>2020.0</v>
      </c>
      <c r="H76" s="1">
        <v>0.0</v>
      </c>
      <c r="I76" s="1" t="s">
        <v>40</v>
      </c>
      <c r="J76" s="1" t="s">
        <v>58</v>
      </c>
      <c r="K76" s="1" t="b">
        <v>0</v>
      </c>
      <c r="L76" s="1" t="s">
        <v>260</v>
      </c>
      <c r="M76" s="1">
        <v>18.4</v>
      </c>
      <c r="N76" s="1">
        <v>25.6</v>
      </c>
      <c r="O76" s="1">
        <v>30.7</v>
      </c>
      <c r="P76" s="1">
        <v>19.1</v>
      </c>
      <c r="Q76" s="1">
        <v>14.4</v>
      </c>
      <c r="R76" s="1">
        <v>8.8</v>
      </c>
      <c r="S76" s="1">
        <v>41.7</v>
      </c>
      <c r="T76" s="1">
        <v>27.7</v>
      </c>
      <c r="U76" s="1">
        <v>16.6</v>
      </c>
      <c r="V76" s="1">
        <v>14.1</v>
      </c>
      <c r="W76" s="1">
        <v>5.1</v>
      </c>
      <c r="X76" s="1">
        <v>5.7</v>
      </c>
      <c r="Y76" s="1" t="s">
        <v>115</v>
      </c>
      <c r="Z76" s="1">
        <v>2.75</v>
      </c>
      <c r="AA76" s="3">
        <v>3.0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5">
        <f t="array" ref="AG76">XLOOKUP(A76, predicciones!G:G, predicciones!B:B, "No encontrado")</f>
        <v>0</v>
      </c>
      <c r="AH76" s="5">
        <f t="shared" si="1"/>
        <v>0</v>
      </c>
      <c r="AI76" s="6" t="str">
        <f t="array" ref="AI76">XLOOKUP(L76, Free_Streaming!L:L, Free_Streaming!A:A, "Sin servicio gratis")</f>
        <v>Voot</v>
      </c>
      <c r="AJ76" s="5">
        <f t="shared" si="2"/>
        <v>0</v>
      </c>
    </row>
    <row r="77">
      <c r="A77" s="1" t="s">
        <v>261</v>
      </c>
      <c r="B77" s="1" t="s">
        <v>100</v>
      </c>
      <c r="C77" s="1" t="s">
        <v>38</v>
      </c>
      <c r="D77" s="1" t="s">
        <v>95</v>
      </c>
      <c r="E77" s="2">
        <v>5.0</v>
      </c>
      <c r="F77" s="1">
        <v>60.0</v>
      </c>
      <c r="G77" s="1">
        <v>2013.0</v>
      </c>
      <c r="H77" s="1">
        <v>0.0</v>
      </c>
      <c r="I77" s="1" t="s">
        <v>262</v>
      </c>
      <c r="J77" s="1" t="s">
        <v>58</v>
      </c>
      <c r="K77" s="1" t="b">
        <v>0</v>
      </c>
      <c r="L77" s="1" t="s">
        <v>263</v>
      </c>
      <c r="M77" s="1">
        <v>19.9</v>
      </c>
      <c r="N77" s="1">
        <v>20.0</v>
      </c>
      <c r="O77" s="1">
        <v>29.7</v>
      </c>
      <c r="P77" s="1">
        <v>15.1</v>
      </c>
      <c r="Q77" s="1">
        <v>12.0</v>
      </c>
      <c r="R77" s="1">
        <v>6.2</v>
      </c>
      <c r="S77" s="1">
        <v>35.3</v>
      </c>
      <c r="T77" s="1">
        <v>23.2</v>
      </c>
      <c r="U77" s="1">
        <v>10.4</v>
      </c>
      <c r="V77" s="1">
        <v>13.6</v>
      </c>
      <c r="W77" s="1">
        <v>11.2</v>
      </c>
      <c r="X77" s="1">
        <v>5.4</v>
      </c>
      <c r="Y77" s="1" t="s">
        <v>115</v>
      </c>
      <c r="Z77" s="1">
        <v>4.49</v>
      </c>
      <c r="AA77" s="3">
        <v>2.4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5">
        <f t="array" ref="AG77">XLOOKUP(A77, predicciones!G:G, predicciones!B:B, "No encontrado")</f>
        <v>0</v>
      </c>
      <c r="AH77" s="5">
        <f t="shared" si="1"/>
        <v>0</v>
      </c>
      <c r="AI77" s="6" t="str">
        <f t="array" ref="AI77">XLOOKUP(L77, Free_Streaming!L:L, Free_Streaming!A:A, "Sin servicio gratis")</f>
        <v>PBS Kids</v>
      </c>
      <c r="AJ77" s="5">
        <f t="shared" si="2"/>
        <v>0</v>
      </c>
    </row>
    <row r="78">
      <c r="A78" s="1" t="s">
        <v>264</v>
      </c>
      <c r="B78" s="1" t="s">
        <v>56</v>
      </c>
      <c r="C78" s="1" t="s">
        <v>38</v>
      </c>
      <c r="D78" s="1" t="s">
        <v>166</v>
      </c>
      <c r="E78" s="2">
        <v>0.0</v>
      </c>
      <c r="F78" s="1">
        <v>0.0</v>
      </c>
      <c r="G78" s="1">
        <v>2010.0</v>
      </c>
      <c r="H78" s="1">
        <v>0.0</v>
      </c>
      <c r="I78" s="1" t="s">
        <v>265</v>
      </c>
      <c r="J78" s="1" t="s">
        <v>58</v>
      </c>
      <c r="K78" s="1" t="b">
        <v>0</v>
      </c>
      <c r="L78" s="1" t="s">
        <v>266</v>
      </c>
      <c r="M78" s="1">
        <v>10.7</v>
      </c>
      <c r="N78" s="1">
        <v>23.1</v>
      </c>
      <c r="O78" s="1">
        <v>21.2</v>
      </c>
      <c r="P78" s="1">
        <v>16.3</v>
      </c>
      <c r="Q78" s="1">
        <v>12.6</v>
      </c>
      <c r="R78" s="1">
        <v>9.0</v>
      </c>
      <c r="S78" s="1">
        <v>40.4</v>
      </c>
      <c r="T78" s="1">
        <v>25.2</v>
      </c>
      <c r="U78" s="1">
        <v>10.8</v>
      </c>
      <c r="V78" s="1">
        <v>15.4</v>
      </c>
      <c r="W78" s="1">
        <v>7.2</v>
      </c>
      <c r="X78" s="1">
        <v>4.2</v>
      </c>
      <c r="Y78" s="1" t="s">
        <v>115</v>
      </c>
      <c r="Z78" s="1">
        <v>0.0</v>
      </c>
      <c r="AA78" s="3">
        <v>2.4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5">
        <f t="array" ref="AG78">XLOOKUP(A78, predicciones!G:G, predicciones!B:B, "No encontrado")</f>
        <v>0</v>
      </c>
      <c r="AH78" s="5">
        <f t="shared" si="1"/>
        <v>0</v>
      </c>
      <c r="AI78" s="6" t="str">
        <f t="array" ref="AI78">XLOOKUP(L78, Free_Streaming!L:L, Free_Streaming!A:A, "Sin servicio gratis")</f>
        <v>Sin servicio gratis</v>
      </c>
      <c r="AJ78" s="5">
        <f t="shared" si="2"/>
        <v>0</v>
      </c>
    </row>
    <row r="79">
      <c r="A79" s="1" t="s">
        <v>267</v>
      </c>
      <c r="B79" s="1" t="s">
        <v>56</v>
      </c>
      <c r="C79" s="1" t="s">
        <v>38</v>
      </c>
      <c r="D79" s="1" t="s">
        <v>268</v>
      </c>
      <c r="E79" s="2">
        <v>0.0</v>
      </c>
      <c r="F79" s="1">
        <v>0.0</v>
      </c>
      <c r="G79" s="1">
        <v>2006.0</v>
      </c>
      <c r="H79" s="1">
        <v>0.0</v>
      </c>
      <c r="I79" s="1" t="s">
        <v>269</v>
      </c>
      <c r="J79" s="1" t="s">
        <v>58</v>
      </c>
      <c r="K79" s="1" t="b">
        <v>0</v>
      </c>
      <c r="L79" s="1" t="s">
        <v>211</v>
      </c>
      <c r="M79" s="1">
        <v>18.6</v>
      </c>
      <c r="N79" s="1">
        <v>32.1</v>
      </c>
      <c r="O79" s="1">
        <v>19.0</v>
      </c>
      <c r="P79" s="1">
        <v>24.3</v>
      </c>
      <c r="Q79" s="1">
        <v>7.3</v>
      </c>
      <c r="R79" s="1">
        <v>2.7</v>
      </c>
      <c r="S79" s="1">
        <v>32.5</v>
      </c>
      <c r="T79" s="1">
        <v>22.5</v>
      </c>
      <c r="U79" s="1">
        <v>11.4</v>
      </c>
      <c r="V79" s="1">
        <v>16.8</v>
      </c>
      <c r="W79" s="1">
        <v>7.1</v>
      </c>
      <c r="X79" s="1">
        <v>6.5</v>
      </c>
      <c r="Y79" s="1" t="s">
        <v>115</v>
      </c>
      <c r="Z79" s="1">
        <v>0.0</v>
      </c>
      <c r="AA79" s="3">
        <v>2.4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5">
        <f t="array" ref="AG79">XLOOKUP(A79, predicciones!G:G, predicciones!B:B, "No encontrado")</f>
        <v>0</v>
      </c>
      <c r="AH79" s="5">
        <f t="shared" si="1"/>
        <v>0</v>
      </c>
      <c r="AI79" s="6" t="str">
        <f t="array" ref="AI79">XLOOKUP(L79, Free_Streaming!L:L, Free_Streaming!A:A, "Sin servicio gratis")</f>
        <v>Sin servicio gratis</v>
      </c>
      <c r="AJ79" s="5">
        <f t="shared" si="2"/>
        <v>0</v>
      </c>
    </row>
    <row r="80">
      <c r="AA80" s="8"/>
      <c r="AI80" s="6"/>
    </row>
    <row r="81">
      <c r="AA81" s="8"/>
      <c r="AI81" s="6"/>
    </row>
    <row r="82">
      <c r="AA82" s="8"/>
      <c r="AI82" s="6"/>
    </row>
    <row r="83">
      <c r="AA83" s="8"/>
      <c r="AI83" s="6"/>
    </row>
    <row r="84">
      <c r="AA84" s="8"/>
      <c r="AI84" s="6"/>
    </row>
    <row r="85">
      <c r="AA85" s="8"/>
      <c r="AI85" s="6"/>
    </row>
    <row r="86">
      <c r="AA86" s="8"/>
      <c r="AI86" s="6"/>
    </row>
    <row r="87">
      <c r="AA87" s="8"/>
      <c r="AI87" s="6"/>
    </row>
    <row r="88">
      <c r="AA88" s="8"/>
      <c r="AI88" s="6"/>
    </row>
    <row r="89">
      <c r="AA89" s="8"/>
      <c r="AI89" s="6"/>
    </row>
    <row r="90">
      <c r="AA90" s="8"/>
      <c r="AI90" s="6"/>
    </row>
    <row r="91">
      <c r="AA91" s="8"/>
      <c r="AI91" s="6"/>
    </row>
    <row r="92">
      <c r="AA92" s="8"/>
      <c r="AI92" s="6"/>
    </row>
    <row r="93">
      <c r="AA93" s="8"/>
      <c r="AI93" s="6"/>
    </row>
    <row r="94">
      <c r="AA94" s="8"/>
      <c r="AI94" s="6"/>
    </row>
    <row r="95">
      <c r="AA95" s="8"/>
      <c r="AI95" s="6"/>
    </row>
    <row r="96">
      <c r="AA96" s="8"/>
      <c r="AI96" s="6"/>
    </row>
    <row r="97">
      <c r="AA97" s="8"/>
      <c r="AI97" s="6"/>
    </row>
    <row r="98">
      <c r="AA98" s="8"/>
      <c r="AI98" s="6"/>
    </row>
    <row r="99">
      <c r="AA99" s="8"/>
      <c r="AI99" s="6"/>
    </row>
    <row r="100">
      <c r="AA100" s="8"/>
      <c r="AI100" s="6"/>
    </row>
    <row r="101">
      <c r="AA101" s="8"/>
      <c r="AI101" s="6"/>
    </row>
    <row r="102">
      <c r="AA102" s="8"/>
      <c r="AI102" s="6"/>
    </row>
    <row r="103">
      <c r="AA103" s="8"/>
      <c r="AI103" s="6"/>
    </row>
    <row r="104">
      <c r="AA104" s="8"/>
      <c r="AI104" s="6"/>
    </row>
    <row r="105">
      <c r="AA105" s="8"/>
      <c r="AI105" s="6"/>
    </row>
    <row r="106">
      <c r="AA106" s="8"/>
      <c r="AI106" s="6"/>
    </row>
    <row r="107">
      <c r="AA107" s="8"/>
      <c r="AI107" s="6"/>
    </row>
    <row r="108">
      <c r="AA108" s="8"/>
      <c r="AI108" s="6"/>
    </row>
    <row r="109">
      <c r="AA109" s="8"/>
      <c r="AI109" s="6"/>
    </row>
    <row r="110">
      <c r="AA110" s="8"/>
      <c r="AI110" s="6"/>
    </row>
    <row r="111">
      <c r="AA111" s="8"/>
      <c r="AI111" s="6"/>
    </row>
    <row r="112">
      <c r="AA112" s="8"/>
      <c r="AI112" s="6"/>
    </row>
    <row r="113">
      <c r="AA113" s="8"/>
      <c r="AI113" s="6"/>
    </row>
    <row r="114">
      <c r="AA114" s="8"/>
      <c r="AI114" s="6"/>
    </row>
    <row r="115">
      <c r="AA115" s="8"/>
      <c r="AI115" s="6"/>
    </row>
    <row r="116">
      <c r="AA116" s="8"/>
      <c r="AI116" s="6"/>
    </row>
    <row r="117">
      <c r="AA117" s="8"/>
      <c r="AI117" s="6"/>
    </row>
    <row r="118">
      <c r="AA118" s="8"/>
      <c r="AI118" s="6"/>
    </row>
    <row r="119">
      <c r="AA119" s="8"/>
      <c r="AI119" s="6"/>
    </row>
    <row r="120">
      <c r="AA120" s="8"/>
      <c r="AI120" s="6"/>
    </row>
    <row r="121">
      <c r="AA121" s="8"/>
      <c r="AI121" s="6"/>
    </row>
    <row r="122">
      <c r="AA122" s="8"/>
      <c r="AI122" s="6"/>
    </row>
    <row r="123">
      <c r="AA123" s="8"/>
      <c r="AI123" s="6"/>
    </row>
    <row r="124">
      <c r="AA124" s="8"/>
      <c r="AI124" s="6"/>
    </row>
    <row r="125">
      <c r="AA125" s="8"/>
      <c r="AI125" s="6"/>
    </row>
    <row r="126">
      <c r="AA126" s="8"/>
      <c r="AI126" s="6"/>
    </row>
    <row r="127">
      <c r="AA127" s="8"/>
      <c r="AI127" s="6"/>
    </row>
    <row r="128">
      <c r="AA128" s="8"/>
      <c r="AI128" s="6"/>
    </row>
    <row r="129">
      <c r="AA129" s="8"/>
      <c r="AI129" s="6"/>
    </row>
    <row r="130">
      <c r="AA130" s="8"/>
      <c r="AI130" s="6"/>
    </row>
    <row r="131">
      <c r="AA131" s="8"/>
      <c r="AI131" s="6"/>
    </row>
    <row r="132">
      <c r="AA132" s="8"/>
      <c r="AI132" s="6"/>
    </row>
    <row r="133">
      <c r="AA133" s="8"/>
      <c r="AI133" s="6"/>
    </row>
    <row r="134">
      <c r="AA134" s="8"/>
      <c r="AI134" s="6"/>
    </row>
    <row r="135">
      <c r="AA135" s="8"/>
      <c r="AI135" s="6"/>
    </row>
    <row r="136">
      <c r="AA136" s="8"/>
      <c r="AI136" s="6"/>
    </row>
    <row r="137">
      <c r="AA137" s="8"/>
      <c r="AI137" s="6"/>
    </row>
    <row r="138">
      <c r="AA138" s="8"/>
      <c r="AI138" s="6"/>
    </row>
    <row r="139">
      <c r="AA139" s="8"/>
      <c r="AI139" s="6"/>
    </row>
    <row r="140">
      <c r="AA140" s="8"/>
      <c r="AI140" s="6"/>
    </row>
    <row r="141">
      <c r="AA141" s="8"/>
      <c r="AI141" s="6"/>
    </row>
    <row r="142">
      <c r="AA142" s="8"/>
      <c r="AI142" s="6"/>
    </row>
    <row r="143">
      <c r="AA143" s="8"/>
      <c r="AI143" s="6"/>
    </row>
    <row r="144">
      <c r="AA144" s="8"/>
      <c r="AI144" s="6"/>
    </row>
    <row r="145">
      <c r="AA145" s="8"/>
      <c r="AI145" s="6"/>
    </row>
    <row r="146">
      <c r="AA146" s="8"/>
      <c r="AI146" s="6"/>
    </row>
    <row r="147">
      <c r="AA147" s="8"/>
      <c r="AI147" s="6"/>
    </row>
    <row r="148">
      <c r="AA148" s="8"/>
      <c r="AI148" s="6"/>
    </row>
    <row r="149">
      <c r="AA149" s="8"/>
      <c r="AI149" s="6"/>
    </row>
    <row r="150">
      <c r="AA150" s="8"/>
      <c r="AI150" s="6"/>
    </row>
    <row r="151">
      <c r="AA151" s="8"/>
      <c r="AI151" s="6"/>
    </row>
    <row r="152">
      <c r="AA152" s="8"/>
      <c r="AI152" s="6"/>
    </row>
    <row r="153">
      <c r="AA153" s="8"/>
      <c r="AI153" s="6"/>
    </row>
    <row r="154">
      <c r="AA154" s="8"/>
      <c r="AI154" s="6"/>
    </row>
    <row r="155">
      <c r="AA155" s="8"/>
      <c r="AI155" s="6"/>
    </row>
    <row r="156">
      <c r="AA156" s="8"/>
      <c r="AI156" s="6"/>
    </row>
    <row r="157">
      <c r="AA157" s="8"/>
      <c r="AI157" s="6"/>
    </row>
    <row r="158">
      <c r="AA158" s="8"/>
      <c r="AI158" s="6"/>
    </row>
    <row r="159">
      <c r="AA159" s="8"/>
      <c r="AI159" s="6"/>
    </row>
    <row r="160">
      <c r="AA160" s="8"/>
      <c r="AI160" s="6"/>
    </row>
    <row r="161">
      <c r="AA161" s="8"/>
      <c r="AI161" s="6"/>
    </row>
    <row r="162">
      <c r="AA162" s="8"/>
      <c r="AI162" s="6"/>
    </row>
    <row r="163">
      <c r="AA163" s="8"/>
      <c r="AI163" s="6"/>
    </row>
    <row r="164">
      <c r="AA164" s="8"/>
      <c r="AI164" s="6"/>
    </row>
    <row r="165">
      <c r="AA165" s="8"/>
      <c r="AI165" s="6"/>
    </row>
    <row r="166">
      <c r="AA166" s="8"/>
      <c r="AI166" s="6"/>
    </row>
    <row r="167">
      <c r="AA167" s="8"/>
      <c r="AI167" s="6"/>
    </row>
    <row r="168">
      <c r="AA168" s="8"/>
      <c r="AI168" s="6"/>
    </row>
    <row r="169">
      <c r="AA169" s="8"/>
      <c r="AI169" s="6"/>
    </row>
    <row r="170">
      <c r="AA170" s="8"/>
      <c r="AI170" s="6"/>
    </row>
    <row r="171">
      <c r="AA171" s="8"/>
      <c r="AI171" s="6"/>
    </row>
    <row r="172">
      <c r="AA172" s="8"/>
      <c r="AI172" s="6"/>
    </row>
    <row r="173">
      <c r="AA173" s="8"/>
      <c r="AI173" s="6"/>
    </row>
    <row r="174">
      <c r="AA174" s="8"/>
      <c r="AI174" s="6"/>
    </row>
    <row r="175">
      <c r="AA175" s="8"/>
      <c r="AI175" s="6"/>
    </row>
    <row r="176">
      <c r="AA176" s="8"/>
      <c r="AI176" s="6"/>
    </row>
    <row r="177">
      <c r="AA177" s="8"/>
      <c r="AI177" s="6"/>
    </row>
    <row r="178">
      <c r="AA178" s="8"/>
      <c r="AI178" s="6"/>
    </row>
    <row r="179">
      <c r="AA179" s="8"/>
      <c r="AI179" s="6"/>
    </row>
    <row r="180">
      <c r="AA180" s="8"/>
      <c r="AI180" s="6"/>
    </row>
    <row r="181">
      <c r="AA181" s="8"/>
      <c r="AI181" s="6"/>
    </row>
    <row r="182">
      <c r="AA182" s="8"/>
      <c r="AI182" s="6"/>
    </row>
    <row r="183">
      <c r="AA183" s="8"/>
      <c r="AI183" s="6"/>
    </row>
    <row r="184">
      <c r="AA184" s="8"/>
      <c r="AI184" s="6"/>
    </row>
    <row r="185">
      <c r="AA185" s="8"/>
      <c r="AI185" s="6"/>
    </row>
    <row r="186">
      <c r="AA186" s="8"/>
      <c r="AI186" s="6"/>
    </row>
    <row r="187">
      <c r="AA187" s="8"/>
      <c r="AI187" s="6"/>
    </row>
    <row r="188">
      <c r="AA188" s="8"/>
      <c r="AI188" s="6"/>
    </row>
    <row r="189">
      <c r="AA189" s="8"/>
      <c r="AI189" s="6"/>
    </row>
    <row r="190">
      <c r="AA190" s="8"/>
      <c r="AI190" s="6"/>
    </row>
    <row r="191">
      <c r="AA191" s="8"/>
      <c r="AI191" s="6"/>
    </row>
    <row r="192">
      <c r="AA192" s="8"/>
      <c r="AI192" s="6"/>
    </row>
    <row r="193">
      <c r="AA193" s="8"/>
      <c r="AI193" s="6"/>
    </row>
    <row r="194">
      <c r="AA194" s="8"/>
      <c r="AI194" s="6"/>
    </row>
    <row r="195">
      <c r="AA195" s="8"/>
      <c r="AI195" s="6"/>
    </row>
    <row r="196">
      <c r="AA196" s="8"/>
      <c r="AI196" s="6"/>
    </row>
    <row r="197">
      <c r="AA197" s="8"/>
      <c r="AI197" s="6"/>
    </row>
    <row r="198">
      <c r="AA198" s="8"/>
      <c r="AI198" s="6"/>
    </row>
    <row r="199">
      <c r="AA199" s="8"/>
      <c r="AI199" s="6"/>
    </row>
    <row r="200">
      <c r="AA200" s="8"/>
      <c r="AI200" s="6"/>
    </row>
    <row r="201">
      <c r="AA201" s="8"/>
      <c r="AI201" s="6"/>
    </row>
    <row r="202">
      <c r="AA202" s="8"/>
      <c r="AI202" s="6"/>
    </row>
    <row r="203">
      <c r="AA203" s="8"/>
      <c r="AI203" s="6"/>
    </row>
    <row r="204">
      <c r="AA204" s="8"/>
      <c r="AI204" s="6"/>
    </row>
    <row r="205">
      <c r="AA205" s="8"/>
      <c r="AI205" s="6"/>
    </row>
    <row r="206">
      <c r="AA206" s="8"/>
      <c r="AI206" s="6"/>
    </row>
    <row r="207">
      <c r="AA207" s="8"/>
      <c r="AI207" s="6"/>
    </row>
    <row r="208">
      <c r="AA208" s="8"/>
      <c r="AI208" s="6"/>
    </row>
    <row r="209">
      <c r="AA209" s="8"/>
      <c r="AI209" s="6"/>
    </row>
    <row r="210">
      <c r="AA210" s="8"/>
      <c r="AI210" s="6"/>
    </row>
    <row r="211">
      <c r="AA211" s="8"/>
      <c r="AI211" s="6"/>
    </row>
    <row r="212">
      <c r="AA212" s="8"/>
      <c r="AI212" s="6"/>
    </row>
    <row r="213">
      <c r="AA213" s="8"/>
      <c r="AI213" s="6"/>
    </row>
    <row r="214">
      <c r="AA214" s="8"/>
      <c r="AI214" s="6"/>
    </row>
    <row r="215">
      <c r="AA215" s="8"/>
      <c r="AI215" s="6"/>
    </row>
    <row r="216">
      <c r="AA216" s="8"/>
      <c r="AI216" s="6"/>
    </row>
    <row r="217">
      <c r="AA217" s="8"/>
      <c r="AI217" s="6"/>
    </row>
    <row r="218">
      <c r="AA218" s="8"/>
      <c r="AI218" s="6"/>
    </row>
    <row r="219">
      <c r="AA219" s="8"/>
      <c r="AI219" s="6"/>
    </row>
    <row r="220">
      <c r="AA220" s="8"/>
      <c r="AI220" s="6"/>
    </row>
    <row r="221">
      <c r="AA221" s="8"/>
      <c r="AI221" s="6"/>
    </row>
    <row r="222">
      <c r="AA222" s="8"/>
      <c r="AI222" s="6"/>
    </row>
    <row r="223">
      <c r="AA223" s="8"/>
      <c r="AI223" s="6"/>
    </row>
    <row r="224">
      <c r="AA224" s="8"/>
      <c r="AI224" s="6"/>
    </row>
    <row r="225">
      <c r="AA225" s="8"/>
      <c r="AI225" s="6"/>
    </row>
    <row r="226">
      <c r="AA226" s="8"/>
      <c r="AI226" s="6"/>
    </row>
    <row r="227">
      <c r="AA227" s="8"/>
      <c r="AI227" s="6"/>
    </row>
    <row r="228">
      <c r="AA228" s="8"/>
      <c r="AI228" s="6"/>
    </row>
    <row r="229">
      <c r="AA229" s="8"/>
      <c r="AI229" s="6"/>
    </row>
    <row r="230">
      <c r="AA230" s="8"/>
      <c r="AI230" s="6"/>
    </row>
    <row r="231">
      <c r="AA231" s="8"/>
      <c r="AI231" s="6"/>
    </row>
    <row r="232">
      <c r="AA232" s="8"/>
      <c r="AI232" s="6"/>
    </row>
    <row r="233">
      <c r="AA233" s="8"/>
      <c r="AI233" s="6"/>
    </row>
    <row r="234">
      <c r="AA234" s="8"/>
      <c r="AI234" s="6"/>
    </row>
    <row r="235">
      <c r="AA235" s="8"/>
      <c r="AI235" s="6"/>
    </row>
    <row r="236">
      <c r="AA236" s="8"/>
      <c r="AI236" s="6"/>
    </row>
    <row r="237">
      <c r="AA237" s="8"/>
      <c r="AI237" s="6"/>
    </row>
    <row r="238">
      <c r="AA238" s="8"/>
      <c r="AI238" s="6"/>
    </row>
    <row r="239">
      <c r="AA239" s="8"/>
      <c r="AI239" s="6"/>
    </row>
    <row r="240">
      <c r="AA240" s="8"/>
      <c r="AI240" s="6"/>
    </row>
    <row r="241">
      <c r="AA241" s="8"/>
      <c r="AI241" s="6"/>
    </row>
    <row r="242">
      <c r="AA242" s="8"/>
      <c r="AI242" s="6"/>
    </row>
    <row r="243">
      <c r="AA243" s="8"/>
      <c r="AI243" s="6"/>
    </row>
    <row r="244">
      <c r="AA244" s="8"/>
      <c r="AI244" s="6"/>
    </row>
    <row r="245">
      <c r="AA245" s="8"/>
      <c r="AI245" s="6"/>
    </row>
    <row r="246">
      <c r="AA246" s="8"/>
      <c r="AI246" s="6"/>
    </row>
    <row r="247">
      <c r="AA247" s="8"/>
      <c r="AI247" s="6"/>
    </row>
    <row r="248">
      <c r="AA248" s="8"/>
      <c r="AI248" s="6"/>
    </row>
    <row r="249">
      <c r="AA249" s="8"/>
      <c r="AI249" s="6"/>
    </row>
    <row r="250">
      <c r="AA250" s="8"/>
      <c r="AI250" s="6"/>
    </row>
    <row r="251">
      <c r="AA251" s="8"/>
      <c r="AI251" s="6"/>
    </row>
    <row r="252">
      <c r="AA252" s="8"/>
      <c r="AI252" s="6"/>
    </row>
    <row r="253">
      <c r="AA253" s="8"/>
      <c r="AI253" s="6"/>
    </row>
    <row r="254">
      <c r="AA254" s="8"/>
      <c r="AI254" s="6"/>
    </row>
    <row r="255">
      <c r="AA255" s="8"/>
      <c r="AI255" s="6"/>
    </row>
    <row r="256">
      <c r="AA256" s="8"/>
      <c r="AI256" s="6"/>
    </row>
    <row r="257">
      <c r="AA257" s="8"/>
      <c r="AI257" s="6"/>
    </row>
    <row r="258">
      <c r="AA258" s="8"/>
      <c r="AI258" s="6"/>
    </row>
    <row r="259">
      <c r="AA259" s="8"/>
      <c r="AI259" s="6"/>
    </row>
    <row r="260">
      <c r="AA260" s="8"/>
      <c r="AI260" s="6"/>
    </row>
    <row r="261">
      <c r="AA261" s="8"/>
      <c r="AI261" s="6"/>
    </row>
    <row r="262">
      <c r="AA262" s="8"/>
      <c r="AI262" s="6"/>
    </row>
    <row r="263">
      <c r="AA263" s="8"/>
      <c r="AI263" s="6"/>
    </row>
    <row r="264">
      <c r="AA264" s="8"/>
      <c r="AI264" s="6"/>
    </row>
    <row r="265">
      <c r="AA265" s="8"/>
      <c r="AI265" s="6"/>
    </row>
    <row r="266">
      <c r="AA266" s="8"/>
      <c r="AI266" s="6"/>
    </row>
    <row r="267">
      <c r="AA267" s="8"/>
      <c r="AI267" s="6"/>
    </row>
    <row r="268">
      <c r="AA268" s="8"/>
      <c r="AI268" s="6"/>
    </row>
    <row r="269">
      <c r="AA269" s="8"/>
      <c r="AI269" s="6"/>
    </row>
    <row r="270">
      <c r="AA270" s="8"/>
      <c r="AI270" s="6"/>
    </row>
    <row r="271">
      <c r="AA271" s="8"/>
      <c r="AI271" s="6"/>
    </row>
    <row r="272">
      <c r="AA272" s="8"/>
      <c r="AI272" s="6"/>
    </row>
    <row r="273">
      <c r="AA273" s="8"/>
      <c r="AI273" s="6"/>
    </row>
    <row r="274">
      <c r="AA274" s="8"/>
      <c r="AI274" s="6"/>
    </row>
    <row r="275">
      <c r="AA275" s="8"/>
      <c r="AI275" s="6"/>
    </row>
    <row r="276">
      <c r="AA276" s="8"/>
      <c r="AI276" s="6"/>
    </row>
    <row r="277">
      <c r="AA277" s="8"/>
      <c r="AI277" s="6"/>
    </row>
    <row r="278">
      <c r="AA278" s="8"/>
      <c r="AI278" s="6"/>
    </row>
    <row r="279">
      <c r="AA279" s="8"/>
      <c r="AI279" s="6"/>
    </row>
    <row r="280">
      <c r="AA280" s="8"/>
      <c r="AI280" s="6"/>
    </row>
    <row r="281">
      <c r="AA281" s="8"/>
      <c r="AI281" s="6"/>
    </row>
    <row r="282">
      <c r="AA282" s="8"/>
      <c r="AI282" s="6"/>
    </row>
    <row r="283">
      <c r="AA283" s="8"/>
      <c r="AI283" s="6"/>
    </row>
    <row r="284">
      <c r="AA284" s="8"/>
      <c r="AI284" s="6"/>
    </row>
    <row r="285">
      <c r="AA285" s="8"/>
      <c r="AI285" s="6"/>
    </row>
    <row r="286">
      <c r="AA286" s="8"/>
      <c r="AI286" s="6"/>
    </row>
    <row r="287">
      <c r="AA287" s="8"/>
      <c r="AI287" s="6"/>
    </row>
    <row r="288">
      <c r="AA288" s="8"/>
      <c r="AI288" s="6"/>
    </row>
    <row r="289">
      <c r="AA289" s="8"/>
      <c r="AI289" s="6"/>
    </row>
    <row r="290">
      <c r="AA290" s="8"/>
      <c r="AI290" s="6"/>
    </row>
    <row r="291">
      <c r="AA291" s="8"/>
      <c r="AI291" s="6"/>
    </row>
    <row r="292">
      <c r="AA292" s="8"/>
      <c r="AI292" s="6"/>
    </row>
    <row r="293">
      <c r="AA293" s="8"/>
      <c r="AI293" s="6"/>
    </row>
    <row r="294">
      <c r="AA294" s="8"/>
      <c r="AI294" s="6"/>
    </row>
    <row r="295">
      <c r="AA295" s="8"/>
      <c r="AI295" s="6"/>
    </row>
    <row r="296">
      <c r="AA296" s="8"/>
      <c r="AI296" s="6"/>
    </row>
    <row r="297">
      <c r="AA297" s="8"/>
      <c r="AI297" s="6"/>
    </row>
    <row r="298">
      <c r="AA298" s="8"/>
      <c r="AI298" s="6"/>
    </row>
    <row r="299">
      <c r="AA299" s="8"/>
      <c r="AI299" s="6"/>
    </row>
    <row r="300">
      <c r="AA300" s="8"/>
      <c r="AI300" s="6"/>
    </row>
    <row r="301">
      <c r="AA301" s="8"/>
      <c r="AI301" s="6"/>
    </row>
    <row r="302">
      <c r="AA302" s="8"/>
      <c r="AI302" s="6"/>
    </row>
    <row r="303">
      <c r="AA303" s="8"/>
      <c r="AI303" s="6"/>
    </row>
    <row r="304">
      <c r="AA304" s="8"/>
      <c r="AI304" s="6"/>
    </row>
    <row r="305">
      <c r="AA305" s="8"/>
      <c r="AI305" s="6"/>
    </row>
    <row r="306">
      <c r="AA306" s="8"/>
      <c r="AI306" s="6"/>
    </row>
    <row r="307">
      <c r="AA307" s="8"/>
      <c r="AI307" s="6"/>
    </row>
    <row r="308">
      <c r="AA308" s="8"/>
      <c r="AI308" s="6"/>
    </row>
    <row r="309">
      <c r="AA309" s="8"/>
      <c r="AI309" s="6"/>
    </row>
    <row r="310">
      <c r="AA310" s="8"/>
      <c r="AI310" s="6"/>
    </row>
    <row r="311">
      <c r="AA311" s="8"/>
      <c r="AI311" s="6"/>
    </row>
    <row r="312">
      <c r="AA312" s="8"/>
      <c r="AI312" s="6"/>
    </row>
    <row r="313">
      <c r="AA313" s="8"/>
      <c r="AI313" s="6"/>
    </row>
    <row r="314">
      <c r="AA314" s="8"/>
      <c r="AI314" s="6"/>
    </row>
    <row r="315">
      <c r="AA315" s="8"/>
      <c r="AI315" s="6"/>
    </row>
    <row r="316">
      <c r="AA316" s="8"/>
      <c r="AI316" s="6"/>
    </row>
    <row r="317">
      <c r="AA317" s="8"/>
      <c r="AI317" s="6"/>
    </row>
    <row r="318">
      <c r="AA318" s="8"/>
      <c r="AI318" s="6"/>
    </row>
    <row r="319">
      <c r="AA319" s="8"/>
      <c r="AI319" s="6"/>
    </row>
    <row r="320">
      <c r="AA320" s="8"/>
      <c r="AI320" s="6"/>
    </row>
    <row r="321">
      <c r="AA321" s="8"/>
      <c r="AI321" s="6"/>
    </row>
    <row r="322">
      <c r="AA322" s="8"/>
      <c r="AI322" s="6"/>
    </row>
    <row r="323">
      <c r="AA323" s="8"/>
      <c r="AI323" s="6"/>
    </row>
    <row r="324">
      <c r="AA324" s="8"/>
      <c r="AI324" s="6"/>
    </row>
    <row r="325">
      <c r="AA325" s="8"/>
      <c r="AI325" s="6"/>
    </row>
    <row r="326">
      <c r="AA326" s="8"/>
      <c r="AI326" s="6"/>
    </row>
    <row r="327">
      <c r="AA327" s="8"/>
      <c r="AI327" s="6"/>
    </row>
    <row r="328">
      <c r="AA328" s="8"/>
      <c r="AI328" s="6"/>
    </row>
    <row r="329">
      <c r="AA329" s="8"/>
      <c r="AI329" s="6"/>
    </row>
    <row r="330">
      <c r="AA330" s="8"/>
      <c r="AI330" s="6"/>
    </row>
    <row r="331">
      <c r="AA331" s="8"/>
      <c r="AI331" s="6"/>
    </row>
    <row r="332">
      <c r="AA332" s="8"/>
      <c r="AI332" s="6"/>
    </row>
    <row r="333">
      <c r="AA333" s="8"/>
      <c r="AI333" s="6"/>
    </row>
    <row r="334">
      <c r="AA334" s="8"/>
      <c r="AI334" s="6"/>
    </row>
    <row r="335">
      <c r="AA335" s="8"/>
      <c r="AI335" s="6"/>
    </row>
    <row r="336">
      <c r="AA336" s="8"/>
      <c r="AI336" s="6"/>
    </row>
    <row r="337">
      <c r="AA337" s="8"/>
      <c r="AI337" s="6"/>
    </row>
    <row r="338">
      <c r="AA338" s="8"/>
      <c r="AI338" s="6"/>
    </row>
    <row r="339">
      <c r="AA339" s="8"/>
      <c r="AI339" s="6"/>
    </row>
    <row r="340">
      <c r="AA340" s="8"/>
      <c r="AI340" s="6"/>
    </row>
    <row r="341">
      <c r="AA341" s="8"/>
      <c r="AI341" s="6"/>
    </row>
    <row r="342">
      <c r="AA342" s="8"/>
      <c r="AI342" s="6"/>
    </row>
    <row r="343">
      <c r="AA343" s="8"/>
      <c r="AI343" s="6"/>
    </row>
    <row r="344">
      <c r="AA344" s="8"/>
      <c r="AI344" s="6"/>
    </row>
    <row r="345">
      <c r="AA345" s="8"/>
      <c r="AI345" s="6"/>
    </row>
    <row r="346">
      <c r="AA346" s="8"/>
      <c r="AI346" s="6"/>
    </row>
    <row r="347">
      <c r="AA347" s="8"/>
      <c r="AI347" s="6"/>
    </row>
    <row r="348">
      <c r="AA348" s="8"/>
      <c r="AI348" s="6"/>
    </row>
    <row r="349">
      <c r="AA349" s="8"/>
      <c r="AI349" s="6"/>
    </row>
    <row r="350">
      <c r="AA350" s="8"/>
      <c r="AI350" s="6"/>
    </row>
    <row r="351">
      <c r="AA351" s="8"/>
      <c r="AI351" s="6"/>
    </row>
    <row r="352">
      <c r="AA352" s="8"/>
      <c r="AI352" s="6"/>
    </row>
    <row r="353">
      <c r="AA353" s="8"/>
      <c r="AI353" s="6"/>
    </row>
    <row r="354">
      <c r="AA354" s="8"/>
      <c r="AI354" s="6"/>
    </row>
    <row r="355">
      <c r="AA355" s="8"/>
      <c r="AI355" s="6"/>
    </row>
    <row r="356">
      <c r="AA356" s="8"/>
      <c r="AI356" s="6"/>
    </row>
    <row r="357">
      <c r="AA357" s="8"/>
      <c r="AI357" s="6"/>
    </row>
    <row r="358">
      <c r="AA358" s="8"/>
      <c r="AI358" s="6"/>
    </row>
    <row r="359">
      <c r="AA359" s="8"/>
      <c r="AI359" s="6"/>
    </row>
    <row r="360">
      <c r="AA360" s="8"/>
      <c r="AI360" s="6"/>
    </row>
    <row r="361">
      <c r="AA361" s="8"/>
      <c r="AI361" s="6"/>
    </row>
    <row r="362">
      <c r="AA362" s="8"/>
      <c r="AI362" s="6"/>
    </row>
    <row r="363">
      <c r="AA363" s="8"/>
      <c r="AI363" s="6"/>
    </row>
    <row r="364">
      <c r="AA364" s="8"/>
      <c r="AI364" s="6"/>
    </row>
    <row r="365">
      <c r="AA365" s="8"/>
      <c r="AI365" s="6"/>
    </row>
    <row r="366">
      <c r="AA366" s="8"/>
      <c r="AI366" s="6"/>
    </row>
    <row r="367">
      <c r="AA367" s="8"/>
      <c r="AI367" s="6"/>
    </row>
    <row r="368">
      <c r="AA368" s="8"/>
      <c r="AI368" s="6"/>
    </row>
    <row r="369">
      <c r="AA369" s="8"/>
      <c r="AI369" s="6"/>
    </row>
    <row r="370">
      <c r="AA370" s="8"/>
      <c r="AI370" s="6"/>
    </row>
    <row r="371">
      <c r="AA371" s="8"/>
      <c r="AI371" s="6"/>
    </row>
    <row r="372">
      <c r="AA372" s="8"/>
      <c r="AI372" s="6"/>
    </row>
    <row r="373">
      <c r="AA373" s="8"/>
      <c r="AI373" s="6"/>
    </row>
    <row r="374">
      <c r="AA374" s="8"/>
      <c r="AI374" s="6"/>
    </row>
    <row r="375">
      <c r="AA375" s="8"/>
      <c r="AI375" s="6"/>
    </row>
    <row r="376">
      <c r="AA376" s="8"/>
      <c r="AI376" s="6"/>
    </row>
    <row r="377">
      <c r="AA377" s="8"/>
      <c r="AI377" s="6"/>
    </row>
    <row r="378">
      <c r="AA378" s="8"/>
      <c r="AI378" s="6"/>
    </row>
    <row r="379">
      <c r="AA379" s="8"/>
      <c r="AI379" s="6"/>
    </row>
    <row r="380">
      <c r="AA380" s="8"/>
      <c r="AI380" s="6"/>
    </row>
    <row r="381">
      <c r="AA381" s="8"/>
      <c r="AI381" s="6"/>
    </row>
    <row r="382">
      <c r="AA382" s="8"/>
      <c r="AI382" s="6"/>
    </row>
    <row r="383">
      <c r="AA383" s="8"/>
      <c r="AI383" s="6"/>
    </row>
    <row r="384">
      <c r="AA384" s="8"/>
      <c r="AI384" s="6"/>
    </row>
    <row r="385">
      <c r="AA385" s="8"/>
      <c r="AI385" s="6"/>
    </row>
    <row r="386">
      <c r="AA386" s="8"/>
      <c r="AI386" s="6"/>
    </row>
    <row r="387">
      <c r="AA387" s="8"/>
      <c r="AI387" s="6"/>
    </row>
    <row r="388">
      <c r="AA388" s="8"/>
      <c r="AI388" s="6"/>
    </row>
    <row r="389">
      <c r="AA389" s="8"/>
      <c r="AI389" s="6"/>
    </row>
    <row r="390">
      <c r="AA390" s="8"/>
      <c r="AI390" s="6"/>
    </row>
    <row r="391">
      <c r="AA391" s="8"/>
      <c r="AI391" s="6"/>
    </row>
    <row r="392">
      <c r="AA392" s="8"/>
      <c r="AI392" s="6"/>
    </row>
    <row r="393">
      <c r="AA393" s="8"/>
      <c r="AI393" s="6"/>
    </row>
    <row r="394">
      <c r="AA394" s="8"/>
      <c r="AI394" s="6"/>
    </row>
    <row r="395">
      <c r="AA395" s="8"/>
      <c r="AI395" s="6"/>
    </row>
    <row r="396">
      <c r="AA396" s="8"/>
      <c r="AI396" s="6"/>
    </row>
    <row r="397">
      <c r="AA397" s="8"/>
      <c r="AI397" s="6"/>
    </row>
    <row r="398">
      <c r="AA398" s="8"/>
      <c r="AI398" s="6"/>
    </row>
    <row r="399">
      <c r="AA399" s="8"/>
      <c r="AI399" s="6"/>
    </row>
    <row r="400">
      <c r="AA400" s="8"/>
      <c r="AI400" s="6"/>
    </row>
    <row r="401">
      <c r="AA401" s="8"/>
      <c r="AI401" s="6"/>
    </row>
    <row r="402">
      <c r="AA402" s="8"/>
      <c r="AI402" s="6"/>
    </row>
    <row r="403">
      <c r="AA403" s="8"/>
      <c r="AI403" s="6"/>
    </row>
    <row r="404">
      <c r="AA404" s="8"/>
      <c r="AI404" s="6"/>
    </row>
    <row r="405">
      <c r="AA405" s="8"/>
      <c r="AI405" s="6"/>
    </row>
    <row r="406">
      <c r="AA406" s="8"/>
      <c r="AI406" s="6"/>
    </row>
    <row r="407">
      <c r="AA407" s="8"/>
      <c r="AI407" s="6"/>
    </row>
    <row r="408">
      <c r="AA408" s="8"/>
      <c r="AI408" s="6"/>
    </row>
    <row r="409">
      <c r="AA409" s="8"/>
      <c r="AI409" s="6"/>
    </row>
    <row r="410">
      <c r="AA410" s="8"/>
      <c r="AI410" s="6"/>
    </row>
    <row r="411">
      <c r="AA411" s="8"/>
      <c r="AI411" s="6"/>
    </row>
    <row r="412">
      <c r="AA412" s="8"/>
      <c r="AI412" s="6"/>
    </row>
    <row r="413">
      <c r="AA413" s="8"/>
      <c r="AI413" s="6"/>
    </row>
    <row r="414">
      <c r="AA414" s="8"/>
      <c r="AI414" s="6"/>
    </row>
    <row r="415">
      <c r="AA415" s="8"/>
      <c r="AI415" s="6"/>
    </row>
    <row r="416">
      <c r="AA416" s="8"/>
      <c r="AI416" s="6"/>
    </row>
    <row r="417">
      <c r="AA417" s="8"/>
      <c r="AI417" s="6"/>
    </row>
    <row r="418">
      <c r="AA418" s="8"/>
      <c r="AI418" s="6"/>
    </row>
    <row r="419">
      <c r="AA419" s="8"/>
      <c r="AI419" s="6"/>
    </row>
    <row r="420">
      <c r="AA420" s="8"/>
      <c r="AI420" s="6"/>
    </row>
    <row r="421">
      <c r="AA421" s="8"/>
      <c r="AI421" s="6"/>
    </row>
    <row r="422">
      <c r="AA422" s="8"/>
      <c r="AI422" s="6"/>
    </row>
    <row r="423">
      <c r="AA423" s="8"/>
      <c r="AI423" s="6"/>
    </row>
    <row r="424">
      <c r="AA424" s="8"/>
      <c r="AI424" s="6"/>
    </row>
    <row r="425">
      <c r="AA425" s="8"/>
      <c r="AI425" s="6"/>
    </row>
    <row r="426">
      <c r="AA426" s="8"/>
      <c r="AI426" s="6"/>
    </row>
    <row r="427">
      <c r="AA427" s="8"/>
      <c r="AI427" s="6"/>
    </row>
    <row r="428">
      <c r="AA428" s="8"/>
      <c r="AI428" s="6"/>
    </row>
    <row r="429">
      <c r="AA429" s="8"/>
      <c r="AI429" s="6"/>
    </row>
    <row r="430">
      <c r="AA430" s="8"/>
      <c r="AI430" s="6"/>
    </row>
    <row r="431">
      <c r="AA431" s="8"/>
      <c r="AI431" s="6"/>
    </row>
    <row r="432">
      <c r="AA432" s="8"/>
      <c r="AI432" s="6"/>
    </row>
    <row r="433">
      <c r="AA433" s="8"/>
      <c r="AI433" s="6"/>
    </row>
    <row r="434">
      <c r="AA434" s="8"/>
      <c r="AI434" s="6"/>
    </row>
    <row r="435">
      <c r="AA435" s="8"/>
      <c r="AI435" s="6"/>
    </row>
    <row r="436">
      <c r="AA436" s="8"/>
      <c r="AI436" s="6"/>
    </row>
    <row r="437">
      <c r="AA437" s="8"/>
      <c r="AI437" s="6"/>
    </row>
    <row r="438">
      <c r="AA438" s="8"/>
      <c r="AI438" s="6"/>
    </row>
    <row r="439">
      <c r="AA439" s="8"/>
      <c r="AI439" s="6"/>
    </row>
    <row r="440">
      <c r="AA440" s="8"/>
      <c r="AI440" s="6"/>
    </row>
    <row r="441">
      <c r="AA441" s="8"/>
      <c r="AI441" s="6"/>
    </row>
    <row r="442">
      <c r="AA442" s="8"/>
      <c r="AI442" s="6"/>
    </row>
    <row r="443">
      <c r="AA443" s="8"/>
      <c r="AI443" s="6"/>
    </row>
    <row r="444">
      <c r="AA444" s="8"/>
      <c r="AI444" s="6"/>
    </row>
    <row r="445">
      <c r="AA445" s="8"/>
      <c r="AI445" s="6"/>
    </row>
    <row r="446">
      <c r="AA446" s="8"/>
      <c r="AI446" s="6"/>
    </row>
    <row r="447">
      <c r="AA447" s="8"/>
      <c r="AI447" s="6"/>
    </row>
    <row r="448">
      <c r="AA448" s="8"/>
      <c r="AI448" s="6"/>
    </row>
    <row r="449">
      <c r="AA449" s="8"/>
      <c r="AI449" s="6"/>
    </row>
    <row r="450">
      <c r="AA450" s="8"/>
      <c r="AI450" s="6"/>
    </row>
    <row r="451">
      <c r="AA451" s="8"/>
      <c r="AI451" s="6"/>
    </row>
    <row r="452">
      <c r="AA452" s="8"/>
      <c r="AI452" s="6"/>
    </row>
    <row r="453">
      <c r="AA453" s="8"/>
      <c r="AI453" s="6"/>
    </row>
    <row r="454">
      <c r="AA454" s="8"/>
      <c r="AI454" s="6"/>
    </row>
    <row r="455">
      <c r="AA455" s="8"/>
      <c r="AI455" s="6"/>
    </row>
    <row r="456">
      <c r="AA456" s="8"/>
      <c r="AI456" s="6"/>
    </row>
    <row r="457">
      <c r="AA457" s="8"/>
      <c r="AI457" s="6"/>
    </row>
    <row r="458">
      <c r="AA458" s="8"/>
      <c r="AI458" s="6"/>
    </row>
    <row r="459">
      <c r="AA459" s="8"/>
      <c r="AI459" s="6"/>
    </row>
    <row r="460">
      <c r="AA460" s="8"/>
      <c r="AI460" s="6"/>
    </row>
    <row r="461">
      <c r="AA461" s="8"/>
      <c r="AI461" s="6"/>
    </row>
    <row r="462">
      <c r="AA462" s="8"/>
      <c r="AI462" s="6"/>
    </row>
    <row r="463">
      <c r="AA463" s="8"/>
      <c r="AI463" s="6"/>
    </row>
    <row r="464">
      <c r="AA464" s="8"/>
      <c r="AI464" s="6"/>
    </row>
    <row r="465">
      <c r="AA465" s="8"/>
      <c r="AI465" s="6"/>
    </row>
    <row r="466">
      <c r="AA466" s="8"/>
      <c r="AI466" s="6"/>
    </row>
    <row r="467">
      <c r="AA467" s="8"/>
      <c r="AI467" s="6"/>
    </row>
    <row r="468">
      <c r="AA468" s="8"/>
      <c r="AI468" s="6"/>
    </row>
    <row r="469">
      <c r="AA469" s="8"/>
      <c r="AI469" s="6"/>
    </row>
    <row r="470">
      <c r="AA470" s="8"/>
      <c r="AI470" s="6"/>
    </row>
    <row r="471">
      <c r="AA471" s="8"/>
      <c r="AI471" s="6"/>
    </row>
    <row r="472">
      <c r="AA472" s="8"/>
      <c r="AI472" s="6"/>
    </row>
    <row r="473">
      <c r="AA473" s="8"/>
      <c r="AI473" s="6"/>
    </row>
    <row r="474">
      <c r="AA474" s="8"/>
      <c r="AI474" s="6"/>
    </row>
    <row r="475">
      <c r="AA475" s="8"/>
      <c r="AI475" s="6"/>
    </row>
    <row r="476">
      <c r="AA476" s="8"/>
      <c r="AI476" s="6"/>
    </row>
    <row r="477">
      <c r="AA477" s="8"/>
      <c r="AI477" s="6"/>
    </row>
    <row r="478">
      <c r="AA478" s="8"/>
      <c r="AI478" s="6"/>
    </row>
    <row r="479">
      <c r="AA479" s="8"/>
      <c r="AI479" s="6"/>
    </row>
    <row r="480">
      <c r="AA480" s="8"/>
      <c r="AI480" s="6"/>
    </row>
    <row r="481">
      <c r="AA481" s="8"/>
      <c r="AI481" s="6"/>
    </row>
    <row r="482">
      <c r="AA482" s="8"/>
      <c r="AI482" s="6"/>
    </row>
    <row r="483">
      <c r="AA483" s="8"/>
      <c r="AI483" s="6"/>
    </row>
    <row r="484">
      <c r="AA484" s="8"/>
      <c r="AI484" s="6"/>
    </row>
    <row r="485">
      <c r="AA485" s="8"/>
      <c r="AI485" s="6"/>
    </row>
    <row r="486">
      <c r="AA486" s="8"/>
      <c r="AI486" s="6"/>
    </row>
    <row r="487">
      <c r="AA487" s="8"/>
      <c r="AI487" s="6"/>
    </row>
    <row r="488">
      <c r="AA488" s="8"/>
      <c r="AI488" s="6"/>
    </row>
    <row r="489">
      <c r="AA489" s="8"/>
      <c r="AI489" s="6"/>
    </row>
    <row r="490">
      <c r="AA490" s="8"/>
      <c r="AI490" s="6"/>
    </row>
    <row r="491">
      <c r="AA491" s="8"/>
      <c r="AI491" s="6"/>
    </row>
    <row r="492">
      <c r="AA492" s="8"/>
      <c r="AI492" s="6"/>
    </row>
    <row r="493">
      <c r="AA493" s="8"/>
      <c r="AI493" s="6"/>
    </row>
    <row r="494">
      <c r="AA494" s="8"/>
      <c r="AI494" s="6"/>
    </row>
    <row r="495">
      <c r="AA495" s="8"/>
      <c r="AI495" s="6"/>
    </row>
    <row r="496">
      <c r="AA496" s="8"/>
      <c r="AI496" s="6"/>
    </row>
    <row r="497">
      <c r="AA497" s="8"/>
      <c r="AI497" s="6"/>
    </row>
    <row r="498">
      <c r="AA498" s="8"/>
      <c r="AI498" s="6"/>
    </row>
    <row r="499">
      <c r="AA499" s="8"/>
      <c r="AI499" s="6"/>
    </row>
    <row r="500">
      <c r="AA500" s="8"/>
      <c r="AI500" s="6"/>
    </row>
    <row r="501">
      <c r="AA501" s="8"/>
      <c r="AI501" s="6"/>
    </row>
    <row r="502">
      <c r="AA502" s="8"/>
      <c r="AI502" s="6"/>
    </row>
    <row r="503">
      <c r="AA503" s="8"/>
      <c r="AI503" s="6"/>
    </row>
    <row r="504">
      <c r="AA504" s="8"/>
      <c r="AI504" s="6"/>
    </row>
    <row r="505">
      <c r="AA505" s="8"/>
      <c r="AI505" s="6"/>
    </row>
    <row r="506">
      <c r="AA506" s="8"/>
      <c r="AI506" s="6"/>
    </row>
    <row r="507">
      <c r="AA507" s="8"/>
      <c r="AI507" s="6"/>
    </row>
    <row r="508">
      <c r="AA508" s="8"/>
      <c r="AI508" s="6"/>
    </row>
    <row r="509">
      <c r="AA509" s="8"/>
      <c r="AI509" s="6"/>
    </row>
    <row r="510">
      <c r="AA510" s="8"/>
      <c r="AI510" s="6"/>
    </row>
    <row r="511">
      <c r="AA511" s="8"/>
      <c r="AI511" s="6"/>
    </row>
    <row r="512">
      <c r="AA512" s="8"/>
      <c r="AI512" s="6"/>
    </row>
    <row r="513">
      <c r="AA513" s="8"/>
      <c r="AI513" s="6"/>
    </row>
    <row r="514">
      <c r="AA514" s="8"/>
      <c r="AI514" s="6"/>
    </row>
    <row r="515">
      <c r="AA515" s="8"/>
      <c r="AI515" s="6"/>
    </row>
    <row r="516">
      <c r="AA516" s="8"/>
      <c r="AI516" s="6"/>
    </row>
    <row r="517">
      <c r="AA517" s="8"/>
      <c r="AI517" s="6"/>
    </row>
    <row r="518">
      <c r="AA518" s="8"/>
      <c r="AI518" s="6"/>
    </row>
    <row r="519">
      <c r="AA519" s="8"/>
      <c r="AI519" s="6"/>
    </row>
    <row r="520">
      <c r="AA520" s="8"/>
      <c r="AI520" s="6"/>
    </row>
    <row r="521">
      <c r="AA521" s="8"/>
      <c r="AI521" s="6"/>
    </row>
    <row r="522">
      <c r="AA522" s="8"/>
      <c r="AI522" s="6"/>
    </row>
    <row r="523">
      <c r="AA523" s="8"/>
      <c r="AI523" s="6"/>
    </row>
    <row r="524">
      <c r="AA524" s="8"/>
      <c r="AI524" s="6"/>
    </row>
    <row r="525">
      <c r="AA525" s="8"/>
      <c r="AI525" s="6"/>
    </row>
    <row r="526">
      <c r="AA526" s="8"/>
      <c r="AI526" s="6"/>
    </row>
    <row r="527">
      <c r="AA527" s="8"/>
      <c r="AI527" s="6"/>
    </row>
    <row r="528">
      <c r="AA528" s="8"/>
      <c r="AI528" s="6"/>
    </row>
    <row r="529">
      <c r="AA529" s="8"/>
      <c r="AI529" s="6"/>
    </row>
    <row r="530">
      <c r="AA530" s="8"/>
      <c r="AI530" s="6"/>
    </row>
    <row r="531">
      <c r="AA531" s="8"/>
      <c r="AI531" s="6"/>
    </row>
    <row r="532">
      <c r="AA532" s="8"/>
      <c r="AI532" s="6"/>
    </row>
    <row r="533">
      <c r="AA533" s="8"/>
      <c r="AI533" s="6"/>
    </row>
    <row r="534">
      <c r="AA534" s="8"/>
      <c r="AI534" s="6"/>
    </row>
    <row r="535">
      <c r="AA535" s="8"/>
      <c r="AI535" s="6"/>
    </row>
    <row r="536">
      <c r="AA536" s="8"/>
      <c r="AI536" s="6"/>
    </row>
    <row r="537">
      <c r="AA537" s="8"/>
      <c r="AI537" s="6"/>
    </row>
    <row r="538">
      <c r="AA538" s="8"/>
      <c r="AI538" s="6"/>
    </row>
    <row r="539">
      <c r="AA539" s="8"/>
      <c r="AI539" s="6"/>
    </row>
    <row r="540">
      <c r="AA540" s="8"/>
      <c r="AI540" s="6"/>
    </row>
    <row r="541">
      <c r="AA541" s="8"/>
      <c r="AI541" s="6"/>
    </row>
    <row r="542">
      <c r="AA542" s="8"/>
      <c r="AI542" s="6"/>
    </row>
    <row r="543">
      <c r="AA543" s="8"/>
      <c r="AI543" s="6"/>
    </row>
    <row r="544">
      <c r="AA544" s="8"/>
      <c r="AI544" s="6"/>
    </row>
    <row r="545">
      <c r="AA545" s="8"/>
      <c r="AI545" s="6"/>
    </row>
    <row r="546">
      <c r="AA546" s="8"/>
      <c r="AI546" s="6"/>
    </row>
    <row r="547">
      <c r="AA547" s="8"/>
      <c r="AI547" s="6"/>
    </row>
    <row r="548">
      <c r="AA548" s="8"/>
      <c r="AI548" s="6"/>
    </row>
    <row r="549">
      <c r="AA549" s="8"/>
      <c r="AI549" s="6"/>
    </row>
    <row r="550">
      <c r="AA550" s="8"/>
      <c r="AI550" s="6"/>
    </row>
    <row r="551">
      <c r="AA551" s="8"/>
      <c r="AI551" s="6"/>
    </row>
    <row r="552">
      <c r="AA552" s="8"/>
      <c r="AI552" s="6"/>
    </row>
    <row r="553">
      <c r="AA553" s="8"/>
      <c r="AI553" s="6"/>
    </row>
    <row r="554">
      <c r="AA554" s="8"/>
      <c r="AI554" s="6"/>
    </row>
    <row r="555">
      <c r="AA555" s="8"/>
      <c r="AI555" s="6"/>
    </row>
    <row r="556">
      <c r="AA556" s="8"/>
      <c r="AI556" s="6"/>
    </row>
    <row r="557">
      <c r="AA557" s="8"/>
      <c r="AI557" s="6"/>
    </row>
    <row r="558">
      <c r="AA558" s="8"/>
      <c r="AI558" s="6"/>
    </row>
    <row r="559">
      <c r="AA559" s="8"/>
      <c r="AI559" s="6"/>
    </row>
    <row r="560">
      <c r="AA560" s="8"/>
      <c r="AI560" s="6"/>
    </row>
    <row r="561">
      <c r="AA561" s="8"/>
      <c r="AI561" s="6"/>
    </row>
    <row r="562">
      <c r="AA562" s="8"/>
      <c r="AI562" s="6"/>
    </row>
    <row r="563">
      <c r="AA563" s="8"/>
      <c r="AI563" s="6"/>
    </row>
    <row r="564">
      <c r="AA564" s="8"/>
      <c r="AI564" s="6"/>
    </row>
    <row r="565">
      <c r="AA565" s="8"/>
      <c r="AI565" s="6"/>
    </row>
    <row r="566">
      <c r="AA566" s="8"/>
      <c r="AI566" s="6"/>
    </row>
    <row r="567">
      <c r="AA567" s="8"/>
      <c r="AI567" s="6"/>
    </row>
    <row r="568">
      <c r="AA568" s="8"/>
      <c r="AI568" s="6"/>
    </row>
    <row r="569">
      <c r="AA569" s="8"/>
      <c r="AI569" s="6"/>
    </row>
    <row r="570">
      <c r="AA570" s="8"/>
      <c r="AI570" s="6"/>
    </row>
    <row r="571">
      <c r="AA571" s="8"/>
      <c r="AI571" s="6"/>
    </row>
    <row r="572">
      <c r="AA572" s="8"/>
      <c r="AI572" s="6"/>
    </row>
    <row r="573">
      <c r="AA573" s="8"/>
      <c r="AI573" s="6"/>
    </row>
    <row r="574">
      <c r="AA574" s="8"/>
      <c r="AI574" s="6"/>
    </row>
    <row r="575">
      <c r="AA575" s="8"/>
      <c r="AI575" s="6"/>
    </row>
    <row r="576">
      <c r="AA576" s="8"/>
      <c r="AI576" s="6"/>
    </row>
    <row r="577">
      <c r="AA577" s="8"/>
      <c r="AI577" s="6"/>
    </row>
    <row r="578">
      <c r="AA578" s="8"/>
      <c r="AI578" s="6"/>
    </row>
    <row r="579">
      <c r="AA579" s="8"/>
      <c r="AI579" s="6"/>
    </row>
    <row r="580">
      <c r="AA580" s="8"/>
      <c r="AI580" s="6"/>
    </row>
    <row r="581">
      <c r="AA581" s="8"/>
      <c r="AI581" s="6"/>
    </row>
    <row r="582">
      <c r="AA582" s="8"/>
      <c r="AI582" s="6"/>
    </row>
    <row r="583">
      <c r="AA583" s="8"/>
      <c r="AI583" s="6"/>
    </row>
    <row r="584">
      <c r="AA584" s="8"/>
      <c r="AI584" s="6"/>
    </row>
    <row r="585">
      <c r="AA585" s="8"/>
      <c r="AI585" s="6"/>
    </row>
    <row r="586">
      <c r="AA586" s="8"/>
      <c r="AI586" s="6"/>
    </row>
    <row r="587">
      <c r="AA587" s="8"/>
      <c r="AI587" s="6"/>
    </row>
    <row r="588">
      <c r="AA588" s="8"/>
      <c r="AI588" s="6"/>
    </row>
    <row r="589">
      <c r="AA589" s="8"/>
      <c r="AI589" s="6"/>
    </row>
    <row r="590">
      <c r="AA590" s="8"/>
      <c r="AI590" s="6"/>
    </row>
    <row r="591">
      <c r="AA591" s="8"/>
      <c r="AI591" s="6"/>
    </row>
    <row r="592">
      <c r="AA592" s="8"/>
      <c r="AI592" s="6"/>
    </row>
    <row r="593">
      <c r="AA593" s="8"/>
      <c r="AI593" s="6"/>
    </row>
    <row r="594">
      <c r="AA594" s="8"/>
      <c r="AI594" s="6"/>
    </row>
    <row r="595">
      <c r="AA595" s="8"/>
      <c r="AI595" s="6"/>
    </row>
    <row r="596">
      <c r="AA596" s="8"/>
      <c r="AI596" s="6"/>
    </row>
    <row r="597">
      <c r="AA597" s="8"/>
      <c r="AI597" s="6"/>
    </row>
    <row r="598">
      <c r="AA598" s="8"/>
      <c r="AI598" s="6"/>
    </row>
    <row r="599">
      <c r="AA599" s="8"/>
      <c r="AI599" s="6"/>
    </row>
    <row r="600">
      <c r="AA600" s="8"/>
      <c r="AI600" s="6"/>
    </row>
    <row r="601">
      <c r="AA601" s="8"/>
      <c r="AI601" s="6"/>
    </row>
    <row r="602">
      <c r="AA602" s="8"/>
      <c r="AI602" s="6"/>
    </row>
    <row r="603">
      <c r="AA603" s="8"/>
      <c r="AI603" s="6"/>
    </row>
    <row r="604">
      <c r="AA604" s="8"/>
      <c r="AI604" s="6"/>
    </row>
    <row r="605">
      <c r="AA605" s="8"/>
      <c r="AI605" s="6"/>
    </row>
    <row r="606">
      <c r="AA606" s="8"/>
      <c r="AI606" s="6"/>
    </row>
    <row r="607">
      <c r="AA607" s="8"/>
      <c r="AI607" s="6"/>
    </row>
    <row r="608">
      <c r="AA608" s="8"/>
      <c r="AI608" s="6"/>
    </row>
    <row r="609">
      <c r="AA609" s="8"/>
      <c r="AI609" s="6"/>
    </row>
    <row r="610">
      <c r="AA610" s="8"/>
      <c r="AI610" s="6"/>
    </row>
    <row r="611">
      <c r="AA611" s="8"/>
      <c r="AI611" s="6"/>
    </row>
    <row r="612">
      <c r="AA612" s="8"/>
      <c r="AI612" s="6"/>
    </row>
    <row r="613">
      <c r="AA613" s="8"/>
      <c r="AI613" s="6"/>
    </row>
    <row r="614">
      <c r="AA614" s="8"/>
      <c r="AI614" s="6"/>
    </row>
    <row r="615">
      <c r="AA615" s="8"/>
      <c r="AI615" s="6"/>
    </row>
    <row r="616">
      <c r="AA616" s="8"/>
      <c r="AI616" s="6"/>
    </row>
    <row r="617">
      <c r="AA617" s="8"/>
      <c r="AI617" s="6"/>
    </row>
    <row r="618">
      <c r="AA618" s="8"/>
      <c r="AI618" s="6"/>
    </row>
    <row r="619">
      <c r="AA619" s="8"/>
      <c r="AI619" s="6"/>
    </row>
    <row r="620">
      <c r="AA620" s="8"/>
      <c r="AI620" s="6"/>
    </row>
    <row r="621">
      <c r="AA621" s="8"/>
      <c r="AI621" s="6"/>
    </row>
    <row r="622">
      <c r="AA622" s="8"/>
      <c r="AI622" s="6"/>
    </row>
    <row r="623">
      <c r="AA623" s="8"/>
      <c r="AI623" s="6"/>
    </row>
    <row r="624">
      <c r="AA624" s="8"/>
      <c r="AI624" s="6"/>
    </row>
    <row r="625">
      <c r="AA625" s="8"/>
      <c r="AI625" s="6"/>
    </row>
    <row r="626">
      <c r="AA626" s="8"/>
      <c r="AI626" s="6"/>
    </row>
    <row r="627">
      <c r="AA627" s="8"/>
      <c r="AI627" s="6"/>
    </row>
    <row r="628">
      <c r="AA628" s="8"/>
      <c r="AI628" s="6"/>
    </row>
    <row r="629">
      <c r="AA629" s="8"/>
      <c r="AI629" s="6"/>
    </row>
    <row r="630">
      <c r="AA630" s="8"/>
      <c r="AI630" s="6"/>
    </row>
    <row r="631">
      <c r="AA631" s="8"/>
      <c r="AI631" s="6"/>
    </row>
    <row r="632">
      <c r="AA632" s="8"/>
      <c r="AI632" s="6"/>
    </row>
    <row r="633">
      <c r="AA633" s="8"/>
      <c r="AI633" s="6"/>
    </row>
    <row r="634">
      <c r="AA634" s="8"/>
      <c r="AI634" s="6"/>
    </row>
    <row r="635">
      <c r="AA635" s="8"/>
      <c r="AI635" s="6"/>
    </row>
    <row r="636">
      <c r="AA636" s="8"/>
      <c r="AI636" s="6"/>
    </row>
    <row r="637">
      <c r="AA637" s="8"/>
      <c r="AI637" s="6"/>
    </row>
    <row r="638">
      <c r="AA638" s="8"/>
      <c r="AI638" s="6"/>
    </row>
    <row r="639">
      <c r="AA639" s="8"/>
      <c r="AI639" s="6"/>
    </row>
    <row r="640">
      <c r="AA640" s="8"/>
      <c r="AI640" s="6"/>
    </row>
    <row r="641">
      <c r="AA641" s="8"/>
      <c r="AI641" s="6"/>
    </row>
    <row r="642">
      <c r="AA642" s="8"/>
      <c r="AI642" s="6"/>
    </row>
    <row r="643">
      <c r="AA643" s="8"/>
      <c r="AI643" s="6"/>
    </row>
    <row r="644">
      <c r="AA644" s="8"/>
      <c r="AI644" s="6"/>
    </row>
    <row r="645">
      <c r="AA645" s="8"/>
      <c r="AI645" s="6"/>
    </row>
    <row r="646">
      <c r="AA646" s="8"/>
      <c r="AI646" s="6"/>
    </row>
    <row r="647">
      <c r="AA647" s="8"/>
      <c r="AI647" s="6"/>
    </row>
    <row r="648">
      <c r="AA648" s="8"/>
      <c r="AI648" s="6"/>
    </row>
    <row r="649">
      <c r="AA649" s="8"/>
      <c r="AI649" s="6"/>
    </row>
    <row r="650">
      <c r="AA650" s="8"/>
      <c r="AI650" s="6"/>
    </row>
    <row r="651">
      <c r="AA651" s="8"/>
      <c r="AI651" s="6"/>
    </row>
    <row r="652">
      <c r="AA652" s="8"/>
      <c r="AI652" s="6"/>
    </row>
    <row r="653">
      <c r="AA653" s="8"/>
      <c r="AI653" s="6"/>
    </row>
    <row r="654">
      <c r="AA654" s="8"/>
      <c r="AI654" s="6"/>
    </row>
    <row r="655">
      <c r="AA655" s="8"/>
      <c r="AI655" s="6"/>
    </row>
    <row r="656">
      <c r="AA656" s="8"/>
      <c r="AI656" s="6"/>
    </row>
    <row r="657">
      <c r="AA657" s="8"/>
      <c r="AI657" s="6"/>
    </row>
    <row r="658">
      <c r="AA658" s="8"/>
      <c r="AI658" s="6"/>
    </row>
    <row r="659">
      <c r="AA659" s="8"/>
      <c r="AI659" s="6"/>
    </row>
    <row r="660">
      <c r="AA660" s="8"/>
      <c r="AI660" s="6"/>
    </row>
    <row r="661">
      <c r="AA661" s="8"/>
      <c r="AI661" s="6"/>
    </row>
    <row r="662">
      <c r="AA662" s="8"/>
      <c r="AI662" s="6"/>
    </row>
    <row r="663">
      <c r="AA663" s="8"/>
      <c r="AI663" s="6"/>
    </row>
    <row r="664">
      <c r="AA664" s="8"/>
      <c r="AI664" s="6"/>
    </row>
    <row r="665">
      <c r="AA665" s="8"/>
      <c r="AI665" s="6"/>
    </row>
    <row r="666">
      <c r="AA666" s="8"/>
      <c r="AI666" s="6"/>
    </row>
    <row r="667">
      <c r="AA667" s="8"/>
      <c r="AI667" s="6"/>
    </row>
    <row r="668">
      <c r="AA668" s="8"/>
      <c r="AI668" s="6"/>
    </row>
    <row r="669">
      <c r="AA669" s="8"/>
      <c r="AI669" s="6"/>
    </row>
    <row r="670">
      <c r="AA670" s="8"/>
      <c r="AI670" s="6"/>
    </row>
    <row r="671">
      <c r="AA671" s="8"/>
      <c r="AI671" s="6"/>
    </row>
    <row r="672">
      <c r="AA672" s="8"/>
      <c r="AI672" s="6"/>
    </row>
    <row r="673">
      <c r="AA673" s="8"/>
      <c r="AI673" s="6"/>
    </row>
    <row r="674">
      <c r="AA674" s="8"/>
      <c r="AI674" s="6"/>
    </row>
    <row r="675">
      <c r="AA675" s="8"/>
      <c r="AI675" s="6"/>
    </row>
    <row r="676">
      <c r="AA676" s="8"/>
      <c r="AI676" s="6"/>
    </row>
    <row r="677">
      <c r="AA677" s="8"/>
      <c r="AI677" s="6"/>
    </row>
    <row r="678">
      <c r="AA678" s="8"/>
      <c r="AI678" s="6"/>
    </row>
    <row r="679">
      <c r="AA679" s="8"/>
      <c r="AI679" s="6"/>
    </row>
    <row r="680">
      <c r="AA680" s="8"/>
      <c r="AI680" s="6"/>
    </row>
    <row r="681">
      <c r="AA681" s="8"/>
      <c r="AI681" s="6"/>
    </row>
    <row r="682">
      <c r="AA682" s="8"/>
      <c r="AI682" s="6"/>
    </row>
    <row r="683">
      <c r="AA683" s="8"/>
      <c r="AI683" s="6"/>
    </row>
    <row r="684">
      <c r="AA684" s="8"/>
      <c r="AI684" s="6"/>
    </row>
    <row r="685">
      <c r="AA685" s="8"/>
      <c r="AI685" s="6"/>
    </row>
    <row r="686">
      <c r="AA686" s="8"/>
      <c r="AI686" s="6"/>
    </row>
    <row r="687">
      <c r="AA687" s="8"/>
      <c r="AI687" s="6"/>
    </row>
    <row r="688">
      <c r="AA688" s="8"/>
      <c r="AI688" s="6"/>
    </row>
    <row r="689">
      <c r="AA689" s="8"/>
      <c r="AI689" s="6"/>
    </row>
    <row r="690">
      <c r="AA690" s="8"/>
      <c r="AI690" s="6"/>
    </row>
    <row r="691">
      <c r="AA691" s="8"/>
      <c r="AI691" s="6"/>
    </row>
    <row r="692">
      <c r="AA692" s="8"/>
      <c r="AI692" s="6"/>
    </row>
    <row r="693">
      <c r="AA693" s="8"/>
      <c r="AI693" s="6"/>
    </row>
    <row r="694">
      <c r="AA694" s="8"/>
      <c r="AI694" s="6"/>
    </row>
    <row r="695">
      <c r="AA695" s="8"/>
      <c r="AI695" s="6"/>
    </row>
    <row r="696">
      <c r="AA696" s="8"/>
      <c r="AI696" s="6"/>
    </row>
    <row r="697">
      <c r="AA697" s="8"/>
      <c r="AI697" s="6"/>
    </row>
    <row r="698">
      <c r="AA698" s="8"/>
      <c r="AI698" s="6"/>
    </row>
    <row r="699">
      <c r="AA699" s="8"/>
      <c r="AI699" s="6"/>
    </row>
    <row r="700">
      <c r="AA700" s="8"/>
      <c r="AI700" s="6"/>
    </row>
    <row r="701">
      <c r="AA701" s="8"/>
      <c r="AI701" s="6"/>
    </row>
    <row r="702">
      <c r="AA702" s="8"/>
      <c r="AI702" s="6"/>
    </row>
    <row r="703">
      <c r="AA703" s="8"/>
      <c r="AI703" s="6"/>
    </row>
    <row r="704">
      <c r="AA704" s="8"/>
      <c r="AI704" s="6"/>
    </row>
    <row r="705">
      <c r="AA705" s="8"/>
      <c r="AI705" s="6"/>
    </row>
    <row r="706">
      <c r="AA706" s="8"/>
      <c r="AI706" s="6"/>
    </row>
    <row r="707">
      <c r="AA707" s="8"/>
      <c r="AI707" s="6"/>
    </row>
    <row r="708">
      <c r="AA708" s="8"/>
      <c r="AI708" s="6"/>
    </row>
    <row r="709">
      <c r="AA709" s="8"/>
      <c r="AI709" s="6"/>
    </row>
    <row r="710">
      <c r="AA710" s="8"/>
      <c r="AI710" s="6"/>
    </row>
    <row r="711">
      <c r="AA711" s="8"/>
      <c r="AI711" s="6"/>
    </row>
    <row r="712">
      <c r="AA712" s="8"/>
      <c r="AI712" s="6"/>
    </row>
    <row r="713">
      <c r="AA713" s="8"/>
      <c r="AI713" s="6"/>
    </row>
    <row r="714">
      <c r="AA714" s="8"/>
      <c r="AI714" s="6"/>
    </row>
    <row r="715">
      <c r="AA715" s="8"/>
      <c r="AI715" s="6"/>
    </row>
    <row r="716">
      <c r="AA716" s="8"/>
      <c r="AI716" s="6"/>
    </row>
    <row r="717">
      <c r="AA717" s="8"/>
      <c r="AI717" s="6"/>
    </row>
    <row r="718">
      <c r="AA718" s="8"/>
      <c r="AI718" s="6"/>
    </row>
    <row r="719">
      <c r="AA719" s="8"/>
      <c r="AI719" s="6"/>
    </row>
    <row r="720">
      <c r="AA720" s="8"/>
      <c r="AI720" s="6"/>
    </row>
    <row r="721">
      <c r="AA721" s="8"/>
      <c r="AI721" s="6"/>
    </row>
    <row r="722">
      <c r="AA722" s="8"/>
      <c r="AI722" s="6"/>
    </row>
    <row r="723">
      <c r="AA723" s="8"/>
      <c r="AI723" s="6"/>
    </row>
    <row r="724">
      <c r="AA724" s="8"/>
      <c r="AI724" s="6"/>
    </row>
    <row r="725">
      <c r="AA725" s="8"/>
      <c r="AI725" s="6"/>
    </row>
    <row r="726">
      <c r="AA726" s="8"/>
      <c r="AI726" s="6"/>
    </row>
    <row r="727">
      <c r="AA727" s="8"/>
      <c r="AI727" s="6"/>
    </row>
    <row r="728">
      <c r="AA728" s="8"/>
      <c r="AI728" s="6"/>
    </row>
    <row r="729">
      <c r="AA729" s="8"/>
      <c r="AI729" s="6"/>
    </row>
    <row r="730">
      <c r="AA730" s="8"/>
      <c r="AI730" s="6"/>
    </row>
    <row r="731">
      <c r="AA731" s="8"/>
      <c r="AI731" s="6"/>
    </row>
    <row r="732">
      <c r="AA732" s="8"/>
      <c r="AI732" s="6"/>
    </row>
    <row r="733">
      <c r="AA733" s="8"/>
      <c r="AI733" s="6"/>
    </row>
    <row r="734">
      <c r="AA734" s="8"/>
      <c r="AI734" s="6"/>
    </row>
    <row r="735">
      <c r="AA735" s="8"/>
      <c r="AI735" s="6"/>
    </row>
    <row r="736">
      <c r="AA736" s="8"/>
      <c r="AI736" s="6"/>
    </row>
    <row r="737">
      <c r="AA737" s="8"/>
      <c r="AI737" s="6"/>
    </row>
    <row r="738">
      <c r="AA738" s="8"/>
      <c r="AI738" s="6"/>
    </row>
    <row r="739">
      <c r="AA739" s="8"/>
      <c r="AI739" s="6"/>
    </row>
    <row r="740">
      <c r="AA740" s="8"/>
      <c r="AI740" s="6"/>
    </row>
    <row r="741">
      <c r="AA741" s="8"/>
      <c r="AI741" s="6"/>
    </row>
    <row r="742">
      <c r="AA742" s="8"/>
      <c r="AI742" s="6"/>
    </row>
    <row r="743">
      <c r="AA743" s="8"/>
      <c r="AI743" s="6"/>
    </row>
    <row r="744">
      <c r="AA744" s="8"/>
      <c r="AI744" s="6"/>
    </row>
    <row r="745">
      <c r="AA745" s="8"/>
      <c r="AI745" s="6"/>
    </row>
    <row r="746">
      <c r="AA746" s="8"/>
      <c r="AI746" s="6"/>
    </row>
    <row r="747">
      <c r="AA747" s="8"/>
      <c r="AI747" s="6"/>
    </row>
    <row r="748">
      <c r="AA748" s="8"/>
      <c r="AI748" s="6"/>
    </row>
    <row r="749">
      <c r="AA749" s="8"/>
      <c r="AI749" s="6"/>
    </row>
    <row r="750">
      <c r="AA750" s="8"/>
      <c r="AI750" s="6"/>
    </row>
    <row r="751">
      <c r="AA751" s="8"/>
      <c r="AI751" s="6"/>
    </row>
    <row r="752">
      <c r="AA752" s="8"/>
      <c r="AI752" s="6"/>
    </row>
    <row r="753">
      <c r="AA753" s="8"/>
      <c r="AI753" s="6"/>
    </row>
    <row r="754">
      <c r="AA754" s="8"/>
      <c r="AI754" s="6"/>
    </row>
    <row r="755">
      <c r="AA755" s="8"/>
      <c r="AI755" s="6"/>
    </row>
    <row r="756">
      <c r="AA756" s="8"/>
      <c r="AI756" s="6"/>
    </row>
    <row r="757">
      <c r="AA757" s="8"/>
      <c r="AI757" s="6"/>
    </row>
    <row r="758">
      <c r="AA758" s="8"/>
      <c r="AI758" s="6"/>
    </row>
    <row r="759">
      <c r="AA759" s="8"/>
      <c r="AI759" s="6"/>
    </row>
    <row r="760">
      <c r="AA760" s="8"/>
      <c r="AI760" s="6"/>
    </row>
    <row r="761">
      <c r="AA761" s="8"/>
      <c r="AI761" s="6"/>
    </row>
    <row r="762">
      <c r="AA762" s="8"/>
      <c r="AI762" s="6"/>
    </row>
    <row r="763">
      <c r="AA763" s="8"/>
      <c r="AI763" s="6"/>
    </row>
    <row r="764">
      <c r="AA764" s="8"/>
      <c r="AI764" s="6"/>
    </row>
    <row r="765">
      <c r="AA765" s="8"/>
      <c r="AI765" s="6"/>
    </row>
    <row r="766">
      <c r="AA766" s="8"/>
      <c r="AI766" s="6"/>
    </row>
    <row r="767">
      <c r="AA767" s="8"/>
      <c r="AI767" s="6"/>
    </row>
    <row r="768">
      <c r="AA768" s="8"/>
      <c r="AI768" s="6"/>
    </row>
    <row r="769">
      <c r="AA769" s="8"/>
      <c r="AI769" s="6"/>
    </row>
    <row r="770">
      <c r="AA770" s="8"/>
      <c r="AI770" s="6"/>
    </row>
    <row r="771">
      <c r="AA771" s="8"/>
      <c r="AI771" s="6"/>
    </row>
    <row r="772">
      <c r="AA772" s="8"/>
      <c r="AI772" s="6"/>
    </row>
    <row r="773">
      <c r="AA773" s="8"/>
      <c r="AI773" s="6"/>
    </row>
    <row r="774">
      <c r="AA774" s="8"/>
      <c r="AI774" s="6"/>
    </row>
    <row r="775">
      <c r="AA775" s="8"/>
      <c r="AI775" s="6"/>
    </row>
    <row r="776">
      <c r="AA776" s="8"/>
      <c r="AI776" s="6"/>
    </row>
    <row r="777">
      <c r="AA777" s="8"/>
      <c r="AI777" s="6"/>
    </row>
    <row r="778">
      <c r="AA778" s="8"/>
      <c r="AI778" s="6"/>
    </row>
    <row r="779">
      <c r="AA779" s="8"/>
      <c r="AI779" s="6"/>
    </row>
    <row r="780">
      <c r="AA780" s="8"/>
      <c r="AI780" s="6"/>
    </row>
    <row r="781">
      <c r="AA781" s="8"/>
      <c r="AI781" s="6"/>
    </row>
    <row r="782">
      <c r="AA782" s="8"/>
      <c r="AI782" s="6"/>
    </row>
    <row r="783">
      <c r="AA783" s="8"/>
      <c r="AI783" s="6"/>
    </row>
    <row r="784">
      <c r="AA784" s="8"/>
      <c r="AI784" s="6"/>
    </row>
    <row r="785">
      <c r="AA785" s="8"/>
      <c r="AI785" s="6"/>
    </row>
    <row r="786">
      <c r="AA786" s="8"/>
      <c r="AI786" s="6"/>
    </row>
    <row r="787">
      <c r="AA787" s="8"/>
      <c r="AI787" s="6"/>
    </row>
    <row r="788">
      <c r="AA788" s="8"/>
      <c r="AI788" s="6"/>
    </row>
    <row r="789">
      <c r="AA789" s="8"/>
      <c r="AI789" s="6"/>
    </row>
    <row r="790">
      <c r="AA790" s="8"/>
      <c r="AI790" s="6"/>
    </row>
    <row r="791">
      <c r="AA791" s="8"/>
      <c r="AI791" s="6"/>
    </row>
    <row r="792">
      <c r="AA792" s="8"/>
      <c r="AI792" s="6"/>
    </row>
    <row r="793">
      <c r="AA793" s="8"/>
      <c r="AI793" s="6"/>
    </row>
    <row r="794">
      <c r="AA794" s="8"/>
      <c r="AI794" s="6"/>
    </row>
    <row r="795">
      <c r="AA795" s="8"/>
      <c r="AI795" s="6"/>
    </row>
    <row r="796">
      <c r="AA796" s="8"/>
      <c r="AI796" s="6"/>
    </row>
    <row r="797">
      <c r="AA797" s="8"/>
      <c r="AI797" s="6"/>
    </row>
    <row r="798">
      <c r="AA798" s="8"/>
      <c r="AI798" s="6"/>
    </row>
    <row r="799">
      <c r="AA799" s="8"/>
      <c r="AI799" s="6"/>
    </row>
    <row r="800">
      <c r="AA800" s="8"/>
      <c r="AI800" s="6"/>
    </row>
    <row r="801">
      <c r="AA801" s="8"/>
      <c r="AI801" s="6"/>
    </row>
    <row r="802">
      <c r="AA802" s="8"/>
      <c r="AI802" s="6"/>
    </row>
    <row r="803">
      <c r="AA803" s="8"/>
      <c r="AI803" s="6"/>
    </row>
    <row r="804">
      <c r="AA804" s="8"/>
      <c r="AI804" s="6"/>
    </row>
    <row r="805">
      <c r="AA805" s="8"/>
      <c r="AI805" s="6"/>
    </row>
    <row r="806">
      <c r="AA806" s="8"/>
      <c r="AI806" s="6"/>
    </row>
    <row r="807">
      <c r="AA807" s="8"/>
      <c r="AI807" s="6"/>
    </row>
    <row r="808">
      <c r="AA808" s="8"/>
      <c r="AI808" s="6"/>
    </row>
    <row r="809">
      <c r="AA809" s="8"/>
      <c r="AI809" s="6"/>
    </row>
    <row r="810">
      <c r="AA810" s="8"/>
      <c r="AI810" s="6"/>
    </row>
    <row r="811">
      <c r="AA811" s="8"/>
      <c r="AI811" s="6"/>
    </row>
    <row r="812">
      <c r="AA812" s="8"/>
      <c r="AI812" s="6"/>
    </row>
    <row r="813">
      <c r="AA813" s="8"/>
      <c r="AI813" s="6"/>
    </row>
    <row r="814">
      <c r="AA814" s="8"/>
      <c r="AI814" s="6"/>
    </row>
    <row r="815">
      <c r="AA815" s="8"/>
      <c r="AI815" s="6"/>
    </row>
    <row r="816">
      <c r="AA816" s="8"/>
      <c r="AI816" s="6"/>
    </row>
    <row r="817">
      <c r="AA817" s="8"/>
      <c r="AI817" s="6"/>
    </row>
    <row r="818">
      <c r="AA818" s="8"/>
      <c r="AI818" s="6"/>
    </row>
    <row r="819">
      <c r="AA819" s="8"/>
      <c r="AI819" s="6"/>
    </row>
    <row r="820">
      <c r="AA820" s="8"/>
      <c r="AI820" s="6"/>
    </row>
    <row r="821">
      <c r="AA821" s="8"/>
      <c r="AI821" s="6"/>
    </row>
    <row r="822">
      <c r="AA822" s="8"/>
      <c r="AI822" s="6"/>
    </row>
    <row r="823">
      <c r="AA823" s="8"/>
      <c r="AI823" s="6"/>
    </row>
    <row r="824">
      <c r="AA824" s="8"/>
      <c r="AI824" s="6"/>
    </row>
    <row r="825">
      <c r="AA825" s="8"/>
      <c r="AI825" s="6"/>
    </row>
    <row r="826">
      <c r="AA826" s="8"/>
      <c r="AI826" s="6"/>
    </row>
    <row r="827">
      <c r="AA827" s="8"/>
      <c r="AI827" s="6"/>
    </row>
    <row r="828">
      <c r="AA828" s="8"/>
      <c r="AI828" s="6"/>
    </row>
    <row r="829">
      <c r="AA829" s="8"/>
      <c r="AI829" s="6"/>
    </row>
    <row r="830">
      <c r="AA830" s="8"/>
      <c r="AI830" s="6"/>
    </row>
    <row r="831">
      <c r="AA831" s="8"/>
      <c r="AI831" s="6"/>
    </row>
    <row r="832">
      <c r="AA832" s="8"/>
      <c r="AI832" s="6"/>
    </row>
    <row r="833">
      <c r="AA833" s="8"/>
      <c r="AI833" s="6"/>
    </row>
    <row r="834">
      <c r="AA834" s="8"/>
      <c r="AI834" s="6"/>
    </row>
    <row r="835">
      <c r="AA835" s="8"/>
      <c r="AI835" s="6"/>
    </row>
    <row r="836">
      <c r="AA836" s="8"/>
      <c r="AI836" s="6"/>
    </row>
    <row r="837">
      <c r="AA837" s="8"/>
      <c r="AI837" s="6"/>
    </row>
    <row r="838">
      <c r="AA838" s="8"/>
      <c r="AI838" s="6"/>
    </row>
    <row r="839">
      <c r="AA839" s="8"/>
      <c r="AI839" s="6"/>
    </row>
    <row r="840">
      <c r="AA840" s="8"/>
      <c r="AI840" s="6"/>
    </row>
    <row r="841">
      <c r="AA841" s="8"/>
      <c r="AI841" s="6"/>
    </row>
    <row r="842">
      <c r="AA842" s="8"/>
      <c r="AI842" s="6"/>
    </row>
    <row r="843">
      <c r="AA843" s="8"/>
      <c r="AI843" s="6"/>
    </row>
    <row r="844">
      <c r="AA844" s="8"/>
      <c r="AI844" s="6"/>
    </row>
    <row r="845">
      <c r="AA845" s="8"/>
      <c r="AI845" s="6"/>
    </row>
    <row r="846">
      <c r="AA846" s="8"/>
      <c r="AI846" s="6"/>
    </row>
    <row r="847">
      <c r="AA847" s="8"/>
      <c r="AI847" s="6"/>
    </row>
    <row r="848">
      <c r="AA848" s="8"/>
      <c r="AI848" s="6"/>
    </row>
    <row r="849">
      <c r="AA849" s="8"/>
      <c r="AI849" s="6"/>
    </row>
    <row r="850">
      <c r="AA850" s="8"/>
      <c r="AI850" s="6"/>
    </row>
    <row r="851">
      <c r="AA851" s="8"/>
      <c r="AI851" s="6"/>
    </row>
    <row r="852">
      <c r="AA852" s="8"/>
      <c r="AI852" s="6"/>
    </row>
    <row r="853">
      <c r="AA853" s="8"/>
      <c r="AI853" s="6"/>
    </row>
    <row r="854">
      <c r="AA854" s="8"/>
      <c r="AI854" s="6"/>
    </row>
    <row r="855">
      <c r="AA855" s="8"/>
      <c r="AI855" s="6"/>
    </row>
    <row r="856">
      <c r="AA856" s="8"/>
      <c r="AI856" s="6"/>
    </row>
    <row r="857">
      <c r="AA857" s="8"/>
      <c r="AI857" s="6"/>
    </row>
    <row r="858">
      <c r="AA858" s="8"/>
      <c r="AI858" s="6"/>
    </row>
    <row r="859">
      <c r="AA859" s="8"/>
      <c r="AI859" s="6"/>
    </row>
    <row r="860">
      <c r="AA860" s="8"/>
      <c r="AI860" s="6"/>
    </row>
    <row r="861">
      <c r="AA861" s="8"/>
      <c r="AI861" s="6"/>
    </row>
    <row r="862">
      <c r="AA862" s="8"/>
      <c r="AI862" s="6"/>
    </row>
    <row r="863">
      <c r="AA863" s="8"/>
      <c r="AI863" s="6"/>
    </row>
    <row r="864">
      <c r="AA864" s="8"/>
      <c r="AI864" s="6"/>
    </row>
    <row r="865">
      <c r="AA865" s="8"/>
      <c r="AI865" s="6"/>
    </row>
    <row r="866">
      <c r="AA866" s="8"/>
      <c r="AI866" s="6"/>
    </row>
    <row r="867">
      <c r="AA867" s="8"/>
      <c r="AI867" s="6"/>
    </row>
    <row r="868">
      <c r="AA868" s="8"/>
      <c r="AI868" s="6"/>
    </row>
    <row r="869">
      <c r="AA869" s="8"/>
      <c r="AI869" s="6"/>
    </row>
    <row r="870">
      <c r="AA870" s="8"/>
      <c r="AI870" s="6"/>
    </row>
    <row r="871">
      <c r="AA871" s="8"/>
      <c r="AI871" s="6"/>
    </row>
    <row r="872">
      <c r="AA872" s="8"/>
      <c r="AI872" s="6"/>
    </row>
    <row r="873">
      <c r="AA873" s="8"/>
      <c r="AI873" s="6"/>
    </row>
    <row r="874">
      <c r="AA874" s="8"/>
      <c r="AI874" s="6"/>
    </row>
    <row r="875">
      <c r="AA875" s="8"/>
      <c r="AI875" s="6"/>
    </row>
    <row r="876">
      <c r="AA876" s="8"/>
      <c r="AI876" s="6"/>
    </row>
    <row r="877">
      <c r="AA877" s="8"/>
      <c r="AI877" s="6"/>
    </row>
    <row r="878">
      <c r="AA878" s="8"/>
      <c r="AI878" s="6"/>
    </row>
    <row r="879">
      <c r="AA879" s="8"/>
      <c r="AI879" s="6"/>
    </row>
    <row r="880">
      <c r="AA880" s="8"/>
      <c r="AI880" s="6"/>
    </row>
    <row r="881">
      <c r="AA881" s="8"/>
      <c r="AI881" s="6"/>
    </row>
    <row r="882">
      <c r="AA882" s="8"/>
      <c r="AI882" s="6"/>
    </row>
    <row r="883">
      <c r="AA883" s="8"/>
      <c r="AI883" s="6"/>
    </row>
    <row r="884">
      <c r="AA884" s="8"/>
      <c r="AI884" s="6"/>
    </row>
    <row r="885">
      <c r="AA885" s="8"/>
      <c r="AI885" s="6"/>
    </row>
    <row r="886">
      <c r="AA886" s="8"/>
      <c r="AI886" s="6"/>
    </row>
    <row r="887">
      <c r="AA887" s="8"/>
      <c r="AI887" s="6"/>
    </row>
    <row r="888">
      <c r="AA888" s="8"/>
      <c r="AI888" s="6"/>
    </row>
    <row r="889">
      <c r="AA889" s="8"/>
      <c r="AI889" s="6"/>
    </row>
    <row r="890">
      <c r="AA890" s="8"/>
      <c r="AI890" s="6"/>
    </row>
    <row r="891">
      <c r="AA891" s="8"/>
      <c r="AI891" s="6"/>
    </row>
    <row r="892">
      <c r="AA892" s="8"/>
      <c r="AI892" s="6"/>
    </row>
    <row r="893">
      <c r="AA893" s="8"/>
      <c r="AI893" s="6"/>
    </row>
    <row r="894">
      <c r="AA894" s="8"/>
      <c r="AI894" s="6"/>
    </row>
    <row r="895">
      <c r="AA895" s="8"/>
      <c r="AI895" s="6"/>
    </row>
    <row r="896">
      <c r="AA896" s="8"/>
      <c r="AI896" s="6"/>
    </row>
    <row r="897">
      <c r="AA897" s="8"/>
      <c r="AI897" s="6"/>
    </row>
    <row r="898">
      <c r="AA898" s="8"/>
      <c r="AI898" s="6"/>
    </row>
    <row r="899">
      <c r="AA899" s="8"/>
      <c r="AI899" s="6"/>
    </row>
    <row r="900">
      <c r="AA900" s="8"/>
      <c r="AI900" s="6"/>
    </row>
    <row r="901">
      <c r="AA901" s="8"/>
      <c r="AI901" s="6"/>
    </row>
    <row r="902">
      <c r="AA902" s="8"/>
      <c r="AI902" s="6"/>
    </row>
    <row r="903">
      <c r="AA903" s="8"/>
      <c r="AI903" s="6"/>
    </row>
    <row r="904">
      <c r="AA904" s="8"/>
      <c r="AI904" s="6"/>
    </row>
    <row r="905">
      <c r="AA905" s="8"/>
      <c r="AI905" s="6"/>
    </row>
    <row r="906">
      <c r="AA906" s="8"/>
      <c r="AI906" s="6"/>
    </row>
    <row r="907">
      <c r="AA907" s="8"/>
      <c r="AI907" s="6"/>
    </row>
    <row r="908">
      <c r="AA908" s="8"/>
      <c r="AI908" s="6"/>
    </row>
    <row r="909">
      <c r="AA909" s="8"/>
      <c r="AI909" s="6"/>
    </row>
    <row r="910">
      <c r="AA910" s="8"/>
      <c r="AI910" s="6"/>
    </row>
    <row r="911">
      <c r="AA911" s="8"/>
      <c r="AI911" s="6"/>
    </row>
    <row r="912">
      <c r="AA912" s="8"/>
      <c r="AI912" s="6"/>
    </row>
    <row r="913">
      <c r="AA913" s="8"/>
      <c r="AI913" s="6"/>
    </row>
    <row r="914">
      <c r="AA914" s="8"/>
      <c r="AI914" s="6"/>
    </row>
    <row r="915">
      <c r="AA915" s="8"/>
      <c r="AI915" s="6"/>
    </row>
    <row r="916">
      <c r="AA916" s="8"/>
      <c r="AI916" s="6"/>
    </row>
    <row r="917">
      <c r="AA917" s="8"/>
      <c r="AI917" s="6"/>
    </row>
    <row r="918">
      <c r="AA918" s="8"/>
      <c r="AI918" s="6"/>
    </row>
    <row r="919">
      <c r="AA919" s="8"/>
      <c r="AI919" s="6"/>
    </row>
    <row r="920">
      <c r="AA920" s="8"/>
      <c r="AI920" s="6"/>
    </row>
    <row r="921">
      <c r="AA921" s="8"/>
      <c r="AI921" s="6"/>
    </row>
    <row r="922">
      <c r="AA922" s="8"/>
      <c r="AI922" s="6"/>
    </row>
    <row r="923">
      <c r="AA923" s="8"/>
      <c r="AI923" s="6"/>
    </row>
    <row r="924">
      <c r="AA924" s="8"/>
      <c r="AI924" s="6"/>
    </row>
    <row r="925">
      <c r="AA925" s="8"/>
      <c r="AI925" s="6"/>
    </row>
    <row r="926">
      <c r="AA926" s="8"/>
      <c r="AI926" s="6"/>
    </row>
    <row r="927">
      <c r="AA927" s="8"/>
      <c r="AI927" s="6"/>
    </row>
    <row r="928">
      <c r="AA928" s="8"/>
      <c r="AI928" s="6"/>
    </row>
    <row r="929">
      <c r="AA929" s="8"/>
      <c r="AI929" s="6"/>
    </row>
    <row r="930">
      <c r="AA930" s="8"/>
      <c r="AI930" s="6"/>
    </row>
    <row r="931">
      <c r="AA931" s="8"/>
      <c r="AI931" s="6"/>
    </row>
    <row r="932">
      <c r="AA932" s="8"/>
      <c r="AI932" s="6"/>
    </row>
    <row r="933">
      <c r="AA933" s="8"/>
      <c r="AI933" s="6"/>
    </row>
    <row r="934">
      <c r="AA934" s="8"/>
      <c r="AI934" s="6"/>
    </row>
    <row r="935">
      <c r="AA935" s="8"/>
      <c r="AI935" s="6"/>
    </row>
    <row r="936">
      <c r="AA936" s="8"/>
      <c r="AI936" s="6"/>
    </row>
    <row r="937">
      <c r="AA937" s="8"/>
      <c r="AI937" s="6"/>
    </row>
    <row r="938">
      <c r="AA938" s="8"/>
      <c r="AI938" s="6"/>
    </row>
    <row r="939">
      <c r="AA939" s="8"/>
      <c r="AI939" s="6"/>
    </row>
    <row r="940">
      <c r="AA940" s="8"/>
      <c r="AI940" s="6"/>
    </row>
    <row r="941">
      <c r="AA941" s="8"/>
      <c r="AI941" s="6"/>
    </row>
    <row r="942">
      <c r="AA942" s="8"/>
      <c r="AI942" s="6"/>
    </row>
    <row r="943">
      <c r="AA943" s="8"/>
      <c r="AI943" s="6"/>
    </row>
    <row r="944">
      <c r="AA944" s="8"/>
      <c r="AI944" s="6"/>
    </row>
    <row r="945">
      <c r="AA945" s="8"/>
      <c r="AI945" s="6"/>
    </row>
    <row r="946">
      <c r="AA946" s="8"/>
      <c r="AI946" s="6"/>
    </row>
    <row r="947">
      <c r="AA947" s="8"/>
      <c r="AI947" s="6"/>
    </row>
    <row r="948">
      <c r="AA948" s="8"/>
      <c r="AI948" s="6"/>
    </row>
    <row r="949">
      <c r="AA949" s="8"/>
      <c r="AI949" s="6"/>
    </row>
    <row r="950">
      <c r="AA950" s="8"/>
      <c r="AI950" s="6"/>
    </row>
    <row r="951">
      <c r="AA951" s="8"/>
      <c r="AI951" s="6"/>
    </row>
    <row r="952">
      <c r="AA952" s="8"/>
      <c r="AI952" s="6"/>
    </row>
    <row r="953">
      <c r="AA953" s="8"/>
      <c r="AI953" s="6"/>
    </row>
    <row r="954">
      <c r="AA954" s="8"/>
      <c r="AI954" s="6"/>
    </row>
    <row r="955">
      <c r="AA955" s="8"/>
      <c r="AI955" s="6"/>
    </row>
    <row r="956">
      <c r="AA956" s="8"/>
      <c r="AI956" s="6"/>
    </row>
    <row r="957">
      <c r="AA957" s="8"/>
      <c r="AI957" s="6"/>
    </row>
    <row r="958">
      <c r="AA958" s="8"/>
      <c r="AI958" s="6"/>
    </row>
    <row r="959">
      <c r="AA959" s="8"/>
      <c r="AI959" s="6"/>
    </row>
    <row r="960">
      <c r="AA960" s="8"/>
      <c r="AI960" s="6"/>
    </row>
    <row r="961">
      <c r="AA961" s="8"/>
      <c r="AI961" s="6"/>
    </row>
    <row r="962">
      <c r="AA962" s="8"/>
      <c r="AI962" s="6"/>
    </row>
    <row r="963">
      <c r="AA963" s="8"/>
      <c r="AI963" s="6"/>
    </row>
    <row r="964">
      <c r="AA964" s="8"/>
      <c r="AI964" s="6"/>
    </row>
    <row r="965">
      <c r="AA965" s="8"/>
      <c r="AI965" s="6"/>
    </row>
    <row r="966">
      <c r="AA966" s="8"/>
      <c r="AI966" s="6"/>
    </row>
    <row r="967">
      <c r="AA967" s="8"/>
      <c r="AI967" s="6"/>
    </row>
    <row r="968">
      <c r="AA968" s="8"/>
      <c r="AI968" s="6"/>
    </row>
    <row r="969">
      <c r="AA969" s="8"/>
      <c r="AI969" s="6"/>
    </row>
    <row r="970">
      <c r="AA970" s="8"/>
      <c r="AI970" s="6"/>
    </row>
    <row r="971">
      <c r="AA971" s="8"/>
      <c r="AI971" s="6"/>
    </row>
    <row r="972">
      <c r="AA972" s="8"/>
      <c r="AI972" s="6"/>
    </row>
    <row r="973">
      <c r="AA973" s="8"/>
      <c r="AI973" s="6"/>
    </row>
    <row r="974">
      <c r="AA974" s="8"/>
      <c r="AI974" s="6"/>
    </row>
    <row r="975">
      <c r="AA975" s="8"/>
      <c r="AI975" s="6"/>
    </row>
    <row r="976">
      <c r="AA976" s="8"/>
      <c r="AI976" s="6"/>
    </row>
    <row r="977">
      <c r="AA977" s="8"/>
      <c r="AI977" s="6"/>
    </row>
    <row r="978">
      <c r="AA978" s="8"/>
      <c r="AI978" s="6"/>
    </row>
    <row r="979">
      <c r="AA979" s="8"/>
      <c r="AI979" s="6"/>
    </row>
    <row r="980">
      <c r="AA980" s="8"/>
      <c r="AI980" s="6"/>
    </row>
    <row r="981">
      <c r="AA981" s="8"/>
      <c r="AI981" s="6"/>
    </row>
    <row r="982">
      <c r="AA982" s="8"/>
      <c r="AI982" s="6"/>
    </row>
    <row r="983">
      <c r="AA983" s="8"/>
      <c r="AI983" s="6"/>
    </row>
    <row r="984">
      <c r="AA984" s="8"/>
      <c r="AI984" s="6"/>
    </row>
    <row r="985">
      <c r="AA985" s="8"/>
      <c r="AI985" s="6"/>
    </row>
    <row r="986">
      <c r="AA986" s="8"/>
      <c r="AI986" s="6"/>
    </row>
    <row r="987">
      <c r="AA987" s="8"/>
      <c r="AI987" s="6"/>
    </row>
    <row r="988">
      <c r="AA988" s="8"/>
      <c r="AI988" s="6"/>
    </row>
    <row r="989">
      <c r="AA989" s="8"/>
      <c r="AI989" s="6"/>
    </row>
    <row r="990">
      <c r="AA990" s="8"/>
      <c r="AI990" s="6"/>
    </row>
    <row r="991">
      <c r="AA991" s="8"/>
      <c r="AI991" s="6"/>
    </row>
    <row r="992">
      <c r="AA992" s="8"/>
      <c r="AI992" s="6"/>
    </row>
    <row r="993">
      <c r="AA993" s="8"/>
      <c r="AI993" s="6"/>
    </row>
    <row r="994">
      <c r="AA994" s="8"/>
      <c r="AI994" s="6"/>
    </row>
    <row r="995">
      <c r="AA995" s="8"/>
      <c r="AI995" s="6"/>
    </row>
    <row r="996">
      <c r="AA996" s="8"/>
      <c r="AI996" s="6"/>
    </row>
    <row r="997">
      <c r="AA997" s="8"/>
      <c r="AI997" s="6"/>
    </row>
    <row r="998">
      <c r="AA998" s="8"/>
      <c r="AI998" s="6"/>
    </row>
    <row r="999">
      <c r="AA999" s="8"/>
      <c r="AI999" s="6"/>
    </row>
    <row r="1000">
      <c r="AA1000" s="8"/>
      <c r="AI1000" s="6"/>
    </row>
  </sheetData>
  <conditionalFormatting sqref="H1:H1000">
    <cfRule type="colorScale" priority="1">
      <colorScale>
        <cfvo type="min"/>
        <cfvo type="max"/>
        <color rgb="FFF4CCCC"/>
        <color rgb="FF57BB8A"/>
      </colorScale>
    </cfRule>
  </conditionalFormatting>
  <hyperlinks>
    <hyperlink r:id="rId1" ref="A4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1.38"/>
    <col customWidth="1" min="2" max="2" width="13.13"/>
    <col customWidth="1" min="3" max="3" width="28.13"/>
    <col customWidth="1" min="4" max="4" width="31.5"/>
    <col customWidth="1" min="5" max="5" width="32.13"/>
  </cols>
  <sheetData>
    <row r="1">
      <c r="A1" s="9" t="s">
        <v>270</v>
      </c>
      <c r="B1" s="9" t="s">
        <v>271</v>
      </c>
      <c r="C1" s="9" t="s">
        <v>272</v>
      </c>
      <c r="D1" s="9" t="s">
        <v>273</v>
      </c>
      <c r="E1" s="9" t="s">
        <v>274</v>
      </c>
    </row>
    <row r="2">
      <c r="A2" s="10">
        <f>SUM(paid_video_streaming_services!AJ:AJ)</f>
        <v>19646.528</v>
      </c>
      <c r="B2" s="10">
        <f>AVERAGE(paid_video_streaming_services!AA:AA)</f>
        <v>2.511410256</v>
      </c>
      <c r="C2" s="10">
        <f>SUM(paid_video_streaming_services!H:H)</f>
        <v>2070.95</v>
      </c>
      <c r="D2" s="10">
        <f>SUM(predicciones!F:F)</f>
        <v>31334.07742</v>
      </c>
      <c r="E2" s="9">
        <f>SUM(D2-A2)</f>
        <v>11687.54942</v>
      </c>
    </row>
    <row r="3">
      <c r="C3" s="1" t="s">
        <v>0</v>
      </c>
      <c r="D3" s="11" t="s">
        <v>275</v>
      </c>
    </row>
    <row r="4">
      <c r="C4" s="1" t="s">
        <v>36</v>
      </c>
      <c r="D4" s="5">
        <f t="array" ref="D4">XLOOKUP(C4, paid_video_streaming_services!A:A,paid_video_streaming_services!V:V)</f>
        <v>16.2</v>
      </c>
      <c r="E4" s="5"/>
    </row>
    <row r="5">
      <c r="C5" s="1" t="s">
        <v>44</v>
      </c>
      <c r="D5" s="5">
        <f t="array" ref="D5">XLOOKUP(C5, paid_video_streaming_services!A:A,paid_video_streaming_services!V:V)</f>
        <v>13.3</v>
      </c>
      <c r="E5" s="5"/>
    </row>
    <row r="6">
      <c r="C6" s="1" t="s">
        <v>47</v>
      </c>
      <c r="D6" s="5">
        <f t="array" ref="D6">XLOOKUP(C6, paid_video_streaming_services!A:A,paid_video_streaming_services!V:V)</f>
        <v>13.8</v>
      </c>
      <c r="E6" s="5"/>
    </row>
    <row r="7">
      <c r="C7" s="1" t="s">
        <v>51</v>
      </c>
      <c r="D7" s="5">
        <f t="array" ref="D7">XLOOKUP(C7, paid_video_streaming_services!A:A,paid_video_streaming_services!V:V)</f>
        <v>16.6</v>
      </c>
      <c r="E7" s="5"/>
    </row>
    <row r="8">
      <c r="C8" s="1" t="s">
        <v>55</v>
      </c>
      <c r="D8" s="5">
        <f t="array" ref="D8">XLOOKUP(C8, paid_video_streaming_services!A:A,paid_video_streaming_services!V:V)</f>
        <v>11</v>
      </c>
      <c r="E8" s="5"/>
    </row>
  </sheetData>
  <drawing r:id="rId1"/>
  <extLst>
    <ext uri="{05C60535-1F16-4fd2-B633-F4F36F0B64E0}">
      <x14:sparklineGroups>
        <x14:sparklineGroup lineWeight="2.0" displayEmptyCellsAs="gap">
          <x14:colorSeries rgb="FFFF0000"/>
          <x14:sparklines>
            <x14:sparkline>
              <xm:f>paid_video_streaming_services!AB2:AF2</xm:f>
              <xm:sqref>E4</xm:sqref>
            </x14:sparkline>
          </x14:sparklines>
        </x14:sparklineGroup>
        <x14:sparklineGroup lineWeight="2.0" displayEmptyCellsAs="gap">
          <x14:colorSeries rgb="FFFF0000"/>
          <x14:sparklines>
            <x14:sparkline>
              <xm:f>paid_video_streaming_services!AB3:AF3</xm:f>
              <xm:sqref>E5</xm:sqref>
            </x14:sparkline>
          </x14:sparklines>
        </x14:sparklineGroup>
        <x14:sparklineGroup lineWeight="2.0" displayEmptyCellsAs="gap">
          <x14:colorSeries rgb="FFFF0000"/>
          <x14:sparklines>
            <x14:sparkline>
              <xm:f>paid_video_streaming_services!AB4:AF4</xm:f>
              <xm:sqref>E6</xm:sqref>
            </x14:sparkline>
          </x14:sparklines>
        </x14:sparklineGroup>
        <x14:sparklineGroup lineWeight="2.0" displayEmptyCellsAs="gap">
          <x14:colorSeries rgb="FFFF0000"/>
          <x14:sparklines>
            <x14:sparkline>
              <xm:f>paid_video_streaming_services!AB5:AF5</xm:f>
              <xm:sqref>E7</xm:sqref>
            </x14:sparkline>
          </x14:sparklines>
        </x14:sparklineGroup>
        <x14:sparklineGroup lineWeight="2.0" displayEmptyCellsAs="gap">
          <x14:colorSeries rgb="FFFF0000"/>
          <x14:sparklines>
            <x14:sparkline>
              <xm:f>paid_video_streaming_services!AB6:AF6</xm:f>
              <xm:sqref>E8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</sheetData>
  <hyperlinks>
    <hyperlink r:id="rId2" ref="A9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0</v>
      </c>
      <c r="H1" s="1" t="s">
        <v>1</v>
      </c>
      <c r="I1" s="1" t="s">
        <v>24</v>
      </c>
    </row>
    <row r="2">
      <c r="A2" s="1">
        <v>301.6</v>
      </c>
      <c r="B2" s="1">
        <v>364.606406078841</v>
      </c>
      <c r="C2" s="1">
        <v>0.0386724</v>
      </c>
      <c r="D2" s="1">
        <v>63.0064060788415</v>
      </c>
      <c r="E2" s="1">
        <v>19.65263829696</v>
      </c>
      <c r="F2" s="1">
        <v>7165.47781942199</v>
      </c>
      <c r="G2" s="1" t="s">
        <v>36</v>
      </c>
      <c r="H2" s="1" t="s">
        <v>37</v>
      </c>
      <c r="I2" s="1" t="s">
        <v>43</v>
      </c>
    </row>
    <row r="3">
      <c r="A3" s="1">
        <v>220.0</v>
      </c>
      <c r="B3" s="1">
        <v>265.959580030985</v>
      </c>
      <c r="C3" s="1">
        <v>0.0386724</v>
      </c>
      <c r="D3" s="1">
        <v>45.9595800309851</v>
      </c>
      <c r="E3" s="1">
        <v>9.16387066656</v>
      </c>
      <c r="F3" s="1">
        <v>2437.21919393656</v>
      </c>
      <c r="G3" s="1" t="s">
        <v>44</v>
      </c>
      <c r="H3" s="1" t="s">
        <v>37</v>
      </c>
      <c r="I3" s="1" t="s">
        <v>43</v>
      </c>
    </row>
    <row r="4">
      <c r="A4" s="1">
        <v>131.6</v>
      </c>
      <c r="B4" s="1">
        <v>208.667479449222</v>
      </c>
      <c r="C4" s="1">
        <v>0.096578625</v>
      </c>
      <c r="D4" s="1">
        <v>77.0674794492226</v>
      </c>
      <c r="E4" s="1">
        <v>12.321541763712</v>
      </c>
      <c r="F4" s="1">
        <v>2571.10506276211</v>
      </c>
      <c r="G4" s="1" t="s">
        <v>47</v>
      </c>
      <c r="H4" s="1" t="s">
        <v>37</v>
      </c>
      <c r="I4" s="1" t="s">
        <v>43</v>
      </c>
    </row>
    <row r="5">
      <c r="A5" s="1">
        <v>128.0</v>
      </c>
      <c r="B5" s="1">
        <v>202.864528300447</v>
      </c>
      <c r="C5" s="1">
        <v>0.09647625</v>
      </c>
      <c r="D5" s="1">
        <v>74.8645283004475</v>
      </c>
      <c r="E5" s="1">
        <v>16.020212454432</v>
      </c>
      <c r="F5" s="1">
        <v>3249.9328428413</v>
      </c>
      <c r="G5" s="1" t="s">
        <v>51</v>
      </c>
      <c r="H5" s="1" t="s">
        <v>37</v>
      </c>
      <c r="I5" s="1" t="s">
        <v>43</v>
      </c>
    </row>
    <row r="6">
      <c r="A6" s="1">
        <v>125.0</v>
      </c>
      <c r="B6" s="1">
        <v>170.822276190475</v>
      </c>
      <c r="C6" s="1">
        <v>0.064454</v>
      </c>
      <c r="D6" s="1">
        <v>45.8222761904753</v>
      </c>
      <c r="E6" s="1">
        <v>2.903732512416</v>
      </c>
      <c r="F6" s="1">
        <v>496.022197219188</v>
      </c>
      <c r="G6" s="1" t="s">
        <v>55</v>
      </c>
      <c r="H6" s="1" t="s">
        <v>56</v>
      </c>
      <c r="I6" s="1" t="s">
        <v>43</v>
      </c>
    </row>
    <row r="7">
      <c r="A7" s="1">
        <v>120.0</v>
      </c>
      <c r="B7" s="1">
        <v>163.936819036715</v>
      </c>
      <c r="C7" s="1">
        <v>0.06438575</v>
      </c>
      <c r="D7" s="1">
        <v>43.9368190367151</v>
      </c>
      <c r="E7" s="1">
        <v>3.709711498752</v>
      </c>
      <c r="F7" s="1">
        <v>608.158302649327</v>
      </c>
      <c r="G7" s="1" t="s">
        <v>60</v>
      </c>
      <c r="H7" s="1" t="s">
        <v>56</v>
      </c>
      <c r="I7" s="1" t="s">
        <v>43</v>
      </c>
    </row>
    <row r="8">
      <c r="A8" s="1">
        <v>120.0</v>
      </c>
      <c r="B8" s="1">
        <v>163.989385142856</v>
      </c>
      <c r="C8" s="1">
        <v>0.064454</v>
      </c>
      <c r="D8" s="1">
        <v>43.9893851428563</v>
      </c>
      <c r="E8" s="1">
        <v>3.621385034496</v>
      </c>
      <c r="F8" s="1">
        <v>593.86870517254</v>
      </c>
      <c r="G8" s="1" t="s">
        <v>63</v>
      </c>
      <c r="H8" s="1" t="s">
        <v>56</v>
      </c>
      <c r="I8" s="1" t="s">
        <v>43</v>
      </c>
    </row>
    <row r="9">
      <c r="A9" s="1">
        <v>105.0</v>
      </c>
      <c r="B9" s="1">
        <v>143.490711999999</v>
      </c>
      <c r="C9" s="1">
        <v>0.064454</v>
      </c>
      <c r="D9" s="1">
        <v>38.4907119999992</v>
      </c>
      <c r="E9" s="1">
        <v>3.555140186304</v>
      </c>
      <c r="F9" s="1">
        <v>510.129596592571</v>
      </c>
      <c r="G9" s="1" t="s">
        <v>66</v>
      </c>
      <c r="H9" s="1" t="s">
        <v>56</v>
      </c>
      <c r="I9" s="1" t="s">
        <v>43</v>
      </c>
    </row>
    <row r="10">
      <c r="A10" s="1">
        <v>100.0</v>
      </c>
      <c r="B10" s="1">
        <v>146.310759809145</v>
      </c>
      <c r="C10" s="1">
        <v>0.079084</v>
      </c>
      <c r="D10" s="1">
        <v>46.3107598091457</v>
      </c>
      <c r="E10" s="1">
        <v>13.35937771872</v>
      </c>
      <c r="F10" s="1">
        <v>1954.62070460329</v>
      </c>
      <c r="G10" s="1" t="s">
        <v>69</v>
      </c>
      <c r="H10" s="1" t="s">
        <v>70</v>
      </c>
      <c r="I10" s="1" t="s">
        <v>73</v>
      </c>
    </row>
    <row r="11">
      <c r="A11" s="1">
        <v>85.0</v>
      </c>
      <c r="B11" s="1">
        <v>124.421781386962</v>
      </c>
      <c r="C11" s="1">
        <v>0.079184</v>
      </c>
      <c r="D11" s="1">
        <v>39.4217813869623</v>
      </c>
      <c r="E11" s="1">
        <v>3.64346665055999</v>
      </c>
      <c r="F11" s="1">
        <v>453.326611086664</v>
      </c>
      <c r="G11" s="1" t="s">
        <v>74</v>
      </c>
      <c r="H11" s="1" t="s">
        <v>56</v>
      </c>
      <c r="I11" s="1" t="s">
        <v>73</v>
      </c>
    </row>
    <row r="12">
      <c r="A12" s="1">
        <v>77.5</v>
      </c>
      <c r="B12" s="1">
        <v>172.659639191688</v>
      </c>
      <c r="C12" s="1">
        <v>0.173756</v>
      </c>
      <c r="D12" s="1">
        <v>95.1596391916885</v>
      </c>
      <c r="E12" s="1">
        <v>10.81999187136</v>
      </c>
      <c r="F12" s="1">
        <v>1868.17589256602</v>
      </c>
      <c r="G12" s="1" t="s">
        <v>77</v>
      </c>
      <c r="H12" s="1" t="s">
        <v>37</v>
      </c>
      <c r="I12" s="1" t="s">
        <v>73</v>
      </c>
    </row>
    <row r="13">
      <c r="A13" s="1">
        <v>62.0</v>
      </c>
      <c r="B13" s="1">
        <v>90.7126710816703</v>
      </c>
      <c r="C13" s="1">
        <v>0.079084</v>
      </c>
      <c r="D13" s="1">
        <v>28.7126710816703</v>
      </c>
      <c r="E13" s="1">
        <v>3.14663028912</v>
      </c>
      <c r="F13" s="1">
        <v>285.439238432563</v>
      </c>
      <c r="G13" s="1" t="s">
        <v>81</v>
      </c>
      <c r="H13" s="1" t="s">
        <v>56</v>
      </c>
      <c r="I13" s="1" t="s">
        <v>73</v>
      </c>
    </row>
    <row r="14">
      <c r="A14" s="1">
        <v>50.2</v>
      </c>
      <c r="B14" s="1">
        <v>63.3133705856501</v>
      </c>
      <c r="C14" s="1">
        <v>0.0475104</v>
      </c>
      <c r="D14" s="1">
        <v>13.1133705856501</v>
      </c>
      <c r="E14" s="1">
        <v>8.94305450592</v>
      </c>
      <c r="F14" s="1">
        <v>566.214924100981</v>
      </c>
      <c r="G14" s="1" t="s">
        <v>84</v>
      </c>
      <c r="H14" s="1" t="s">
        <v>37</v>
      </c>
      <c r="I14" s="1" t="s">
        <v>73</v>
      </c>
    </row>
    <row r="15">
      <c r="A15" s="1">
        <v>34.0</v>
      </c>
      <c r="B15" s="1">
        <v>63.4717615545306</v>
      </c>
      <c r="C15" s="1">
        <v>0.132975</v>
      </c>
      <c r="D15" s="1">
        <v>29.4717615545306</v>
      </c>
      <c r="E15" s="1">
        <v>5.807465024832</v>
      </c>
      <c r="F15" s="1">
        <v>368.610035292413</v>
      </c>
      <c r="G15" s="1" t="s">
        <v>86</v>
      </c>
      <c r="H15" s="1" t="s">
        <v>37</v>
      </c>
      <c r="I15" s="1" t="s">
        <v>73</v>
      </c>
    </row>
    <row r="16">
      <c r="A16" s="1">
        <v>32.0</v>
      </c>
      <c r="B16" s="1">
        <v>48.9621661716179</v>
      </c>
      <c r="C16" s="1">
        <v>0.088785</v>
      </c>
      <c r="D16" s="1">
        <v>16.9621661716179</v>
      </c>
      <c r="E16" s="1">
        <v>5.928913913184</v>
      </c>
      <c r="F16" s="1">
        <v>290.292468234532</v>
      </c>
      <c r="G16" s="1" t="s">
        <v>90</v>
      </c>
      <c r="H16" s="1" t="s">
        <v>56</v>
      </c>
      <c r="I16" s="1" t="s">
        <v>73</v>
      </c>
    </row>
    <row r="17">
      <c r="A17" s="1">
        <v>28.5</v>
      </c>
      <c r="B17" s="1">
        <v>47.2807517928872</v>
      </c>
      <c r="C17" s="1">
        <v>0.106542</v>
      </c>
      <c r="D17" s="1">
        <v>18.7807517928872</v>
      </c>
      <c r="E17" s="1">
        <v>12.431949844032</v>
      </c>
      <c r="F17" s="1">
        <v>587.7919348773</v>
      </c>
      <c r="G17" s="1" t="s">
        <v>93</v>
      </c>
      <c r="H17" s="1" t="s">
        <v>94</v>
      </c>
      <c r="I17" s="1" t="s">
        <v>73</v>
      </c>
    </row>
    <row r="18">
      <c r="A18" s="1">
        <v>28.0</v>
      </c>
      <c r="B18" s="1">
        <v>42.8684621250208</v>
      </c>
      <c r="C18" s="1">
        <v>0.08892</v>
      </c>
      <c r="D18" s="1">
        <v>14.8684621250208</v>
      </c>
      <c r="E18" s="1">
        <v>10.996644799872</v>
      </c>
      <c r="F18" s="1">
        <v>471.40925110562</v>
      </c>
      <c r="G18" s="1" t="s">
        <v>97</v>
      </c>
      <c r="H18" s="1" t="s">
        <v>56</v>
      </c>
      <c r="I18" s="1" t="s">
        <v>73</v>
      </c>
    </row>
    <row r="19">
      <c r="A19" s="1">
        <v>26.0</v>
      </c>
      <c r="B19" s="1">
        <v>39.7817600144395</v>
      </c>
      <c r="C19" s="1">
        <v>0.088785</v>
      </c>
      <c r="D19" s="1">
        <v>13.7817600144395</v>
      </c>
      <c r="E19" s="1">
        <v>2.992058976672</v>
      </c>
      <c r="F19" s="1">
        <v>119.029372159015</v>
      </c>
      <c r="G19" s="1" t="s">
        <v>99</v>
      </c>
      <c r="H19" s="1" t="s">
        <v>100</v>
      </c>
      <c r="I19" s="1" t="s">
        <v>73</v>
      </c>
    </row>
    <row r="20">
      <c r="A20" s="1">
        <v>25.0</v>
      </c>
      <c r="B20" s="1">
        <v>46.7121355297878</v>
      </c>
      <c r="C20" s="1">
        <v>0.1331775</v>
      </c>
      <c r="D20" s="1">
        <v>21.7121355297878</v>
      </c>
      <c r="E20" s="1">
        <v>9.98089046092799</v>
      </c>
      <c r="F20" s="1">
        <v>466.228707918835</v>
      </c>
      <c r="G20" s="1" t="s">
        <v>104</v>
      </c>
      <c r="H20" s="1" t="s">
        <v>37</v>
      </c>
      <c r="I20" s="1" t="s">
        <v>73</v>
      </c>
    </row>
    <row r="21">
      <c r="A21" s="1">
        <v>25.0</v>
      </c>
      <c r="B21" s="1">
        <v>38.2279837930601</v>
      </c>
      <c r="C21" s="1">
        <v>0.08865</v>
      </c>
      <c r="D21" s="1">
        <v>13.2279837930601</v>
      </c>
      <c r="E21" s="1">
        <v>4.780669877856</v>
      </c>
      <c r="F21" s="1">
        <v>182.75537061065</v>
      </c>
      <c r="G21" s="1" t="s">
        <v>106</v>
      </c>
      <c r="H21" s="1" t="s">
        <v>56</v>
      </c>
      <c r="I21" s="1" t="s">
        <v>73</v>
      </c>
    </row>
    <row r="22">
      <c r="A22" s="1">
        <v>25.0</v>
      </c>
      <c r="B22" s="1">
        <v>38.2754126116257</v>
      </c>
      <c r="C22" s="1">
        <v>0.08892</v>
      </c>
      <c r="D22" s="1">
        <v>13.2754126116257</v>
      </c>
      <c r="E22" s="1">
        <v>5.652893712384</v>
      </c>
      <c r="F22" s="1">
        <v>216.366839291162</v>
      </c>
      <c r="G22" s="1" t="s">
        <v>109</v>
      </c>
      <c r="H22" s="1" t="s">
        <v>56</v>
      </c>
      <c r="I22" s="1" t="s">
        <v>73</v>
      </c>
    </row>
    <row r="23">
      <c r="A23" s="1">
        <v>18.0</v>
      </c>
      <c r="B23" s="1">
        <v>31.4933938923928</v>
      </c>
      <c r="C23" s="1">
        <v>0.11838</v>
      </c>
      <c r="D23" s="1">
        <v>13.4933938923928</v>
      </c>
      <c r="E23" s="1">
        <v>24.322900094496</v>
      </c>
      <c r="F23" s="1">
        <v>766.01067328128</v>
      </c>
      <c r="G23" s="1" t="s">
        <v>112</v>
      </c>
      <c r="H23" s="1" t="s">
        <v>94</v>
      </c>
      <c r="I23" s="1" t="s">
        <v>115</v>
      </c>
    </row>
    <row r="24">
      <c r="A24" s="1">
        <v>18.0</v>
      </c>
      <c r="B24" s="1">
        <v>28.8314018190468</v>
      </c>
      <c r="C24" s="1">
        <v>0.0988</v>
      </c>
      <c r="D24" s="1">
        <v>10.8314018190468</v>
      </c>
      <c r="E24" s="1">
        <v>7.540871885856</v>
      </c>
      <c r="F24" s="1">
        <v>217.413907407067</v>
      </c>
      <c r="G24" s="1" t="s">
        <v>116</v>
      </c>
      <c r="H24" s="1" t="s">
        <v>100</v>
      </c>
      <c r="I24" s="1" t="s">
        <v>115</v>
      </c>
    </row>
    <row r="25">
      <c r="A25" s="1">
        <v>15.0</v>
      </c>
      <c r="B25" s="1">
        <v>24.026168182539</v>
      </c>
      <c r="C25" s="1">
        <v>0.0988</v>
      </c>
      <c r="D25" s="1">
        <v>9.02616818253903</v>
      </c>
      <c r="E25" s="1">
        <v>9.539258139648</v>
      </c>
      <c r="F25" s="1">
        <v>229.191820399837</v>
      </c>
      <c r="G25" s="1" t="s">
        <v>119</v>
      </c>
      <c r="H25" s="1" t="s">
        <v>56</v>
      </c>
      <c r="I25" s="1" t="s">
        <v>115</v>
      </c>
    </row>
    <row r="26">
      <c r="A26" s="1">
        <v>15.0</v>
      </c>
      <c r="B26" s="1">
        <v>24.0097732908409</v>
      </c>
      <c r="C26" s="1">
        <v>0.09865</v>
      </c>
      <c r="D26" s="1">
        <v>9.0097732908409</v>
      </c>
      <c r="E26" s="1">
        <v>5.63081209632</v>
      </c>
      <c r="F26" s="1">
        <v>135.194521875967</v>
      </c>
      <c r="G26" s="1" t="s">
        <v>123</v>
      </c>
      <c r="H26" s="1" t="s">
        <v>56</v>
      </c>
      <c r="I26" s="1" t="s">
        <v>115</v>
      </c>
    </row>
    <row r="27">
      <c r="A27" s="1">
        <v>12.0</v>
      </c>
      <c r="B27" s="1">
        <v>19.2078186326727</v>
      </c>
      <c r="C27" s="1">
        <v>0.09865</v>
      </c>
      <c r="D27" s="1">
        <v>7.20781863267272</v>
      </c>
      <c r="E27" s="1">
        <v>3.621385034496</v>
      </c>
      <c r="F27" s="1">
        <v>69.5589069416744</v>
      </c>
      <c r="G27" s="1" t="s">
        <v>126</v>
      </c>
      <c r="H27" s="1" t="s">
        <v>56</v>
      </c>
      <c r="I27" s="1" t="s">
        <v>115</v>
      </c>
    </row>
    <row r="28">
      <c r="A28" s="1">
        <v>12.0</v>
      </c>
      <c r="B28" s="1">
        <v>19.2209345460312</v>
      </c>
      <c r="C28" s="1">
        <v>0.0988</v>
      </c>
      <c r="D28" s="1">
        <v>7.22093454603122</v>
      </c>
      <c r="E28" s="1">
        <v>11.504521969344</v>
      </c>
      <c r="F28" s="1">
        <v>221.127663756139</v>
      </c>
      <c r="G28" s="1" t="s">
        <v>127</v>
      </c>
      <c r="H28" s="1" t="s">
        <v>100</v>
      </c>
      <c r="I28" s="1" t="s">
        <v>115</v>
      </c>
    </row>
    <row r="29">
      <c r="A29" s="1">
        <v>11.5</v>
      </c>
      <c r="B29" s="1">
        <v>18.3949303019388</v>
      </c>
      <c r="C29" s="1">
        <v>0.0985</v>
      </c>
      <c r="D29" s="1">
        <v>6.89493030193887</v>
      </c>
      <c r="E29" s="1">
        <v>9.473013291456</v>
      </c>
      <c r="F29" s="1">
        <v>174.255419245673</v>
      </c>
      <c r="G29" s="1" t="s">
        <v>129</v>
      </c>
      <c r="H29" s="1" t="s">
        <v>56</v>
      </c>
      <c r="I29" s="1" t="s">
        <v>115</v>
      </c>
    </row>
    <row r="30">
      <c r="A30" s="1">
        <v>9.0</v>
      </c>
      <c r="B30" s="1">
        <v>14.4157009095234</v>
      </c>
      <c r="C30" s="1">
        <v>0.0988</v>
      </c>
      <c r="D30" s="1">
        <v>5.41570090952341</v>
      </c>
      <c r="E30" s="1">
        <v>23.84814534912</v>
      </c>
      <c r="F30" s="1">
        <v>343.787730599755</v>
      </c>
      <c r="G30" s="1" t="s">
        <v>133</v>
      </c>
      <c r="H30" s="1" t="s">
        <v>56</v>
      </c>
      <c r="I30" s="1" t="s">
        <v>115</v>
      </c>
    </row>
    <row r="31">
      <c r="A31" s="1">
        <v>8.5</v>
      </c>
      <c r="B31" s="1">
        <v>12.426966977592</v>
      </c>
      <c r="C31" s="1">
        <v>0.07892</v>
      </c>
      <c r="D31" s="1">
        <v>3.92696697759208</v>
      </c>
      <c r="E31" s="1">
        <v>75.13269865776</v>
      </c>
      <c r="F31" s="1">
        <v>933.67156515736</v>
      </c>
      <c r="G31" s="1" t="s">
        <v>137</v>
      </c>
      <c r="H31" s="1" t="s">
        <v>138</v>
      </c>
      <c r="I31" s="1" t="s">
        <v>115</v>
      </c>
    </row>
    <row r="32">
      <c r="A32" s="1">
        <v>8.5</v>
      </c>
      <c r="B32" s="1">
        <v>13.6148286367721</v>
      </c>
      <c r="C32" s="1">
        <v>0.0988</v>
      </c>
      <c r="D32" s="1">
        <v>5.11482863677211</v>
      </c>
      <c r="E32" s="1">
        <v>9.461972483424</v>
      </c>
      <c r="F32" s="1">
        <v>128.82313392767</v>
      </c>
      <c r="G32" s="1" t="s">
        <v>140</v>
      </c>
      <c r="H32" s="1" t="s">
        <v>56</v>
      </c>
      <c r="I32" s="1" t="s">
        <v>115</v>
      </c>
    </row>
    <row r="33">
      <c r="A33" s="1">
        <v>7.5</v>
      </c>
      <c r="B33" s="1">
        <v>13.1116909164702</v>
      </c>
      <c r="C33" s="1">
        <v>0.1182</v>
      </c>
      <c r="D33" s="1">
        <v>5.6116909164702</v>
      </c>
      <c r="E33" s="1">
        <v>8.258524407936</v>
      </c>
      <c r="F33" s="1">
        <v>108.283219462981</v>
      </c>
      <c r="G33" s="1" t="s">
        <v>143</v>
      </c>
      <c r="H33" s="1" t="s">
        <v>94</v>
      </c>
      <c r="I33" s="1" t="s">
        <v>115</v>
      </c>
    </row>
    <row r="34">
      <c r="A34" s="1">
        <v>6.0</v>
      </c>
      <c r="B34" s="1">
        <v>9.61046727301561</v>
      </c>
      <c r="C34" s="1">
        <v>0.0988</v>
      </c>
      <c r="D34" s="1">
        <v>3.61046727301561</v>
      </c>
      <c r="E34" s="1">
        <v>11.449317929184</v>
      </c>
      <c r="F34" s="1">
        <v>110.033295256773</v>
      </c>
      <c r="G34" s="1" t="s">
        <v>146</v>
      </c>
      <c r="H34" s="1" t="s">
        <v>56</v>
      </c>
      <c r="I34" s="1" t="s">
        <v>115</v>
      </c>
    </row>
    <row r="35">
      <c r="A35" s="1">
        <v>6.0</v>
      </c>
      <c r="B35" s="1">
        <v>10.5062486337773</v>
      </c>
      <c r="C35" s="1">
        <v>0.11856</v>
      </c>
      <c r="D35" s="1">
        <v>4.50624863377738</v>
      </c>
      <c r="E35" s="1">
        <v>11.294746616736</v>
      </c>
      <c r="F35" s="1">
        <v>118.665416210944</v>
      </c>
      <c r="G35" s="1" t="s">
        <v>148</v>
      </c>
      <c r="H35" s="1" t="s">
        <v>94</v>
      </c>
      <c r="I35" s="1" t="s">
        <v>115</v>
      </c>
    </row>
    <row r="36">
      <c r="A36" s="1">
        <v>5.5</v>
      </c>
      <c r="B36" s="1">
        <v>8.803583539975</v>
      </c>
      <c r="C36" s="1">
        <v>0.09865</v>
      </c>
      <c r="D36" s="1">
        <v>3.30358353997499</v>
      </c>
      <c r="E36" s="1">
        <v>9.461972483424</v>
      </c>
      <c r="F36" s="1">
        <v>83.2992652107679</v>
      </c>
      <c r="G36" s="1" t="s">
        <v>151</v>
      </c>
      <c r="H36" s="1" t="s">
        <v>56</v>
      </c>
      <c r="I36" s="1" t="s">
        <v>115</v>
      </c>
    </row>
    <row r="37">
      <c r="A37" s="1">
        <v>5.0</v>
      </c>
      <c r="B37" s="1">
        <v>8.00325776361363</v>
      </c>
      <c r="C37" s="1">
        <v>0.09865</v>
      </c>
      <c r="D37" s="1">
        <v>3.00325776361363</v>
      </c>
      <c r="E37" s="1">
        <v>2.30752887868799</v>
      </c>
      <c r="F37" s="1">
        <v>18.4677484131224</v>
      </c>
      <c r="G37" s="1" t="s">
        <v>155</v>
      </c>
      <c r="H37" s="1" t="s">
        <v>56</v>
      </c>
      <c r="I37" s="1" t="s">
        <v>115</v>
      </c>
    </row>
    <row r="38">
      <c r="A38" s="1">
        <v>4.8</v>
      </c>
      <c r="B38" s="1">
        <v>7.01758135205199</v>
      </c>
      <c r="C38" s="1">
        <v>0.07892</v>
      </c>
      <c r="D38" s="1">
        <v>2.21758135205199</v>
      </c>
      <c r="E38" s="1">
        <v>77.50647238464</v>
      </c>
      <c r="F38" s="1">
        <v>543.907975269782</v>
      </c>
      <c r="G38" s="1" t="s">
        <v>158</v>
      </c>
      <c r="H38" s="1" t="s">
        <v>138</v>
      </c>
      <c r="I38" s="1" t="s">
        <v>115</v>
      </c>
    </row>
    <row r="39">
      <c r="A39" s="1">
        <v>3.5</v>
      </c>
      <c r="B39" s="1">
        <v>5.59845704841617</v>
      </c>
      <c r="C39" s="1">
        <v>0.0985</v>
      </c>
      <c r="D39" s="1">
        <v>2.09845704841617</v>
      </c>
      <c r="E39" s="1">
        <v>5.266465431264</v>
      </c>
      <c r="F39" s="1">
        <v>29.4840805139</v>
      </c>
      <c r="G39" s="1" t="s">
        <v>160</v>
      </c>
      <c r="H39" s="1" t="s">
        <v>56</v>
      </c>
      <c r="I39" s="1" t="s">
        <v>115</v>
      </c>
    </row>
    <row r="40">
      <c r="A40" s="1">
        <v>3.5</v>
      </c>
      <c r="B40" s="1">
        <v>5.60228043452954</v>
      </c>
      <c r="C40" s="1">
        <v>0.09865</v>
      </c>
      <c r="D40" s="1">
        <v>2.10228043452954</v>
      </c>
      <c r="E40" s="1">
        <v>2.92581412848</v>
      </c>
      <c r="F40" s="1">
        <v>16.3912312470536</v>
      </c>
      <c r="G40" s="1" t="s">
        <v>162</v>
      </c>
      <c r="H40" s="1" t="s">
        <v>56</v>
      </c>
      <c r="I40" s="1" t="s">
        <v>115</v>
      </c>
    </row>
    <row r="41">
      <c r="A41" s="1">
        <v>3.2</v>
      </c>
      <c r="B41" s="1">
        <v>5.12558254560832</v>
      </c>
      <c r="C41" s="1">
        <v>0.0988</v>
      </c>
      <c r="D41" s="1">
        <v>1.92558254560832</v>
      </c>
      <c r="E41" s="1">
        <v>9.804237532416</v>
      </c>
      <c r="F41" s="1">
        <v>50.2524287691495</v>
      </c>
      <c r="G41" s="1" t="s">
        <v>165</v>
      </c>
      <c r="H41" s="1" t="s">
        <v>56</v>
      </c>
      <c r="I41" s="1" t="s">
        <v>115</v>
      </c>
    </row>
    <row r="42">
      <c r="A42" s="1">
        <v>3.2</v>
      </c>
      <c r="B42" s="1">
        <v>5.60333260468127</v>
      </c>
      <c r="C42" s="1">
        <v>0.11856</v>
      </c>
      <c r="D42" s="1">
        <v>2.40333260468127</v>
      </c>
      <c r="E42" s="1">
        <v>17.422395074496</v>
      </c>
      <c r="F42" s="1">
        <v>97.6234743725618</v>
      </c>
      <c r="G42" s="1" t="s">
        <v>169</v>
      </c>
      <c r="H42" s="1" t="s">
        <v>94</v>
      </c>
      <c r="I42" s="1" t="s">
        <v>115</v>
      </c>
    </row>
    <row r="43">
      <c r="A43" s="1">
        <v>3.2</v>
      </c>
      <c r="B43" s="1">
        <v>5.12558254560832</v>
      </c>
      <c r="C43" s="1">
        <v>0.0988</v>
      </c>
      <c r="D43" s="1">
        <v>1.92558254560832</v>
      </c>
      <c r="E43" s="1">
        <v>24.444348982848</v>
      </c>
      <c r="F43" s="1">
        <v>125.291528485244</v>
      </c>
      <c r="G43" s="1" t="s">
        <v>172</v>
      </c>
      <c r="H43" s="1" t="s">
        <v>56</v>
      </c>
      <c r="I43" s="1" t="s">
        <v>115</v>
      </c>
    </row>
    <row r="44">
      <c r="A44" s="1">
        <v>2.8</v>
      </c>
      <c r="B44" s="1">
        <v>4.90291602909611</v>
      </c>
      <c r="C44" s="1">
        <v>0.11856</v>
      </c>
      <c r="D44" s="1">
        <v>2.10291602909611</v>
      </c>
      <c r="E44" s="1">
        <v>31.422139659072</v>
      </c>
      <c r="F44" s="1">
        <v>154.06011220296</v>
      </c>
      <c r="G44" s="7" t="s">
        <v>174</v>
      </c>
      <c r="H44" s="1" t="s">
        <v>94</v>
      </c>
      <c r="I44" s="1" t="s">
        <v>115</v>
      </c>
    </row>
    <row r="45">
      <c r="A45" s="1">
        <v>2.8</v>
      </c>
      <c r="B45" s="1">
        <v>4.48488472740728</v>
      </c>
      <c r="C45" s="1">
        <v>0.0988</v>
      </c>
      <c r="D45" s="1">
        <v>1.68488472740728</v>
      </c>
      <c r="E45" s="1">
        <v>9.16387066656</v>
      </c>
      <c r="F45" s="1">
        <v>41.0989035963905</v>
      </c>
      <c r="G45" s="1" t="s">
        <v>177</v>
      </c>
      <c r="H45" s="1" t="s">
        <v>56</v>
      </c>
      <c r="I45" s="1" t="s">
        <v>115</v>
      </c>
    </row>
    <row r="46">
      <c r="A46" s="1">
        <v>2.6</v>
      </c>
      <c r="B46" s="1">
        <v>4.16169403707909</v>
      </c>
      <c r="C46" s="1">
        <v>0.09865</v>
      </c>
      <c r="D46" s="1">
        <v>1.56169403707909</v>
      </c>
      <c r="E46" s="1">
        <v>10.98560399184</v>
      </c>
      <c r="F46" s="1">
        <v>45.7187226265527</v>
      </c>
      <c r="G46" s="1" t="s">
        <v>178</v>
      </c>
      <c r="H46" s="1" t="s">
        <v>56</v>
      </c>
      <c r="I46" s="1" t="s">
        <v>115</v>
      </c>
    </row>
    <row r="47">
      <c r="A47" s="1">
        <v>2.5</v>
      </c>
      <c r="B47" s="1">
        <v>4.0043613637565</v>
      </c>
      <c r="C47" s="1">
        <v>0.0988</v>
      </c>
      <c r="D47" s="1">
        <v>1.5043613637565</v>
      </c>
      <c r="E47" s="1">
        <v>19.464944560416</v>
      </c>
      <c r="F47" s="1">
        <v>77.9446719453921</v>
      </c>
      <c r="G47" s="1" t="s">
        <v>181</v>
      </c>
      <c r="H47" s="1" t="s">
        <v>56</v>
      </c>
      <c r="I47" s="1" t="s">
        <v>115</v>
      </c>
    </row>
    <row r="48">
      <c r="A48" s="1">
        <v>2.5</v>
      </c>
      <c r="B48" s="1">
        <v>4.00162888180681</v>
      </c>
      <c r="C48" s="1">
        <v>0.09865</v>
      </c>
      <c r="D48" s="1">
        <v>1.50162888180681</v>
      </c>
      <c r="E48" s="1">
        <v>7.23172926096</v>
      </c>
      <c r="F48" s="1">
        <v>28.938696676065</v>
      </c>
      <c r="G48" s="1" t="s">
        <v>184</v>
      </c>
      <c r="H48" s="1" t="s">
        <v>100</v>
      </c>
      <c r="I48" s="1" t="s">
        <v>115</v>
      </c>
    </row>
    <row r="49">
      <c r="A49" s="1">
        <v>2.5</v>
      </c>
      <c r="B49" s="1">
        <v>4.00162888180681</v>
      </c>
      <c r="C49" s="1">
        <v>0.09865</v>
      </c>
      <c r="D49" s="1">
        <v>1.50162888180681</v>
      </c>
      <c r="E49" s="1">
        <v>7.905218550912</v>
      </c>
      <c r="F49" s="1">
        <v>31.6337508703245</v>
      </c>
      <c r="G49" s="1" t="s">
        <v>187</v>
      </c>
      <c r="H49" s="1" t="s">
        <v>100</v>
      </c>
      <c r="I49" s="1" t="s">
        <v>115</v>
      </c>
    </row>
    <row r="50">
      <c r="A50" s="1">
        <v>2.5</v>
      </c>
      <c r="B50" s="1">
        <v>3.99889789172584</v>
      </c>
      <c r="C50" s="1">
        <v>0.0985</v>
      </c>
      <c r="D50" s="1">
        <v>1.49889789172584</v>
      </c>
      <c r="E50" s="1">
        <v>3.42265048992</v>
      </c>
      <c r="F50" s="1">
        <v>13.6868298282555</v>
      </c>
      <c r="G50" s="1" t="s">
        <v>191</v>
      </c>
      <c r="H50" s="1" t="s">
        <v>56</v>
      </c>
      <c r="I50" s="1" t="s">
        <v>115</v>
      </c>
    </row>
    <row r="51">
      <c r="A51" s="1">
        <v>2.2</v>
      </c>
      <c r="B51" s="1">
        <v>3.52383800010572</v>
      </c>
      <c r="C51" s="1">
        <v>0.0988</v>
      </c>
      <c r="D51" s="1">
        <v>1.32383800010572</v>
      </c>
      <c r="E51" s="1">
        <v>2.384814534912</v>
      </c>
      <c r="F51" s="1">
        <v>8.40370008132736</v>
      </c>
      <c r="G51" s="1" t="s">
        <v>195</v>
      </c>
      <c r="H51" s="1" t="s">
        <v>56</v>
      </c>
      <c r="I51" s="1" t="s">
        <v>115</v>
      </c>
    </row>
    <row r="52">
      <c r="A52" s="1">
        <v>2.1</v>
      </c>
      <c r="B52" s="1">
        <v>3.67422928744582</v>
      </c>
      <c r="C52" s="1">
        <v>0.11838</v>
      </c>
      <c r="D52" s="1">
        <v>1.57422928744582</v>
      </c>
      <c r="E52" s="1">
        <v>93.703337767584</v>
      </c>
      <c r="F52" s="1">
        <v>344.287547957085</v>
      </c>
      <c r="G52" s="1" t="s">
        <v>198</v>
      </c>
      <c r="H52" s="1" t="s">
        <v>94</v>
      </c>
      <c r="I52" s="1" t="s">
        <v>115</v>
      </c>
    </row>
    <row r="53">
      <c r="A53" s="1">
        <v>2.1</v>
      </c>
      <c r="B53" s="1">
        <v>3.07019184152274</v>
      </c>
      <c r="C53" s="1">
        <v>0.07892</v>
      </c>
      <c r="D53" s="1">
        <v>0.970191841522749</v>
      </c>
      <c r="E53" s="1">
        <v>48.590596148832</v>
      </c>
      <c r="F53" s="1">
        <v>149.18245187087</v>
      </c>
      <c r="G53" s="1" t="s">
        <v>202</v>
      </c>
      <c r="H53" s="1" t="s">
        <v>138</v>
      </c>
      <c r="I53" s="1" t="s">
        <v>115</v>
      </c>
    </row>
    <row r="54">
      <c r="A54" s="1">
        <v>2.0</v>
      </c>
      <c r="B54" s="1">
        <v>3.20130310544545</v>
      </c>
      <c r="C54" s="1">
        <v>0.09865</v>
      </c>
      <c r="D54" s="1">
        <v>1.20130310544545</v>
      </c>
      <c r="E54" s="1">
        <v>4.780669877856</v>
      </c>
      <c r="F54" s="1">
        <v>15.3043733260899</v>
      </c>
      <c r="G54" s="1" t="s">
        <v>205</v>
      </c>
      <c r="H54" s="1" t="s">
        <v>56</v>
      </c>
      <c r="I54" s="1" t="s">
        <v>115</v>
      </c>
    </row>
    <row r="55">
      <c r="A55" s="1">
        <v>1.8</v>
      </c>
      <c r="B55" s="1">
        <v>2.88314018190468</v>
      </c>
      <c r="C55" s="1">
        <v>0.0988</v>
      </c>
      <c r="D55" s="1">
        <v>1.08314018190468</v>
      </c>
      <c r="E55" s="1">
        <v>8.291646832032</v>
      </c>
      <c r="F55" s="1">
        <v>23.9059801555941</v>
      </c>
      <c r="G55" s="1" t="s">
        <v>208</v>
      </c>
      <c r="H55" s="1" t="s">
        <v>100</v>
      </c>
      <c r="I55" s="1" t="s">
        <v>115</v>
      </c>
    </row>
    <row r="56">
      <c r="A56" s="1">
        <v>1.8</v>
      </c>
      <c r="B56" s="1">
        <v>2.88314018190468</v>
      </c>
      <c r="C56" s="1">
        <v>0.0988</v>
      </c>
      <c r="D56" s="1">
        <v>1.08314018190468</v>
      </c>
      <c r="E56" s="1">
        <v>12.189052067328</v>
      </c>
      <c r="F56" s="1">
        <v>35.1427457946417</v>
      </c>
      <c r="G56" s="1" t="s">
        <v>210</v>
      </c>
      <c r="H56" s="1" t="s">
        <v>56</v>
      </c>
      <c r="I56" s="1" t="s">
        <v>115</v>
      </c>
    </row>
    <row r="57">
      <c r="A57" s="1">
        <v>1.5</v>
      </c>
      <c r="B57" s="1">
        <v>2.40097732908409</v>
      </c>
      <c r="C57" s="1">
        <v>0.09865</v>
      </c>
      <c r="D57" s="1">
        <v>0.90097732908409</v>
      </c>
      <c r="E57" s="1">
        <v>6.193893305952</v>
      </c>
      <c r="F57" s="1">
        <v>14.8713974063564</v>
      </c>
      <c r="G57" s="1" t="s">
        <v>212</v>
      </c>
      <c r="H57" s="1" t="s">
        <v>100</v>
      </c>
      <c r="I57" s="1" t="s">
        <v>115</v>
      </c>
    </row>
    <row r="58">
      <c r="A58" s="1">
        <v>1.5</v>
      </c>
      <c r="B58" s="1">
        <v>2.19299417251625</v>
      </c>
      <c r="C58" s="1">
        <v>0.07892</v>
      </c>
      <c r="D58" s="1">
        <v>0.692994172516249</v>
      </c>
      <c r="E58" s="1">
        <v>80.531653785408</v>
      </c>
      <c r="F58" s="1">
        <v>176.605447454495</v>
      </c>
      <c r="G58" s="1" t="s">
        <v>214</v>
      </c>
      <c r="H58" s="1" t="s">
        <v>138</v>
      </c>
      <c r="I58" s="1" t="s">
        <v>115</v>
      </c>
    </row>
    <row r="59">
      <c r="A59" s="1">
        <v>1.5</v>
      </c>
      <c r="B59" s="1">
        <v>2.3993387350355</v>
      </c>
      <c r="C59" s="1">
        <v>0.0985</v>
      </c>
      <c r="D59" s="1">
        <v>0.899338735035504</v>
      </c>
      <c r="E59" s="1">
        <v>10.422522782208</v>
      </c>
      <c r="F59" s="1">
        <v>25.0071626281416</v>
      </c>
      <c r="G59" s="1" t="s">
        <v>216</v>
      </c>
      <c r="H59" s="1" t="s">
        <v>56</v>
      </c>
      <c r="I59" s="1" t="s">
        <v>115</v>
      </c>
    </row>
    <row r="60">
      <c r="A60" s="1">
        <v>1.2</v>
      </c>
      <c r="B60" s="1">
        <v>1.92078186326727</v>
      </c>
      <c r="C60" s="1">
        <v>0.09865</v>
      </c>
      <c r="D60" s="1">
        <v>0.720781863267272</v>
      </c>
      <c r="E60" s="1">
        <v>7.51879026979199</v>
      </c>
      <c r="F60" s="1">
        <v>14.4419559839269</v>
      </c>
      <c r="G60" s="1" t="s">
        <v>218</v>
      </c>
      <c r="H60" s="1" t="s">
        <v>100</v>
      </c>
      <c r="I60" s="1" t="s">
        <v>115</v>
      </c>
    </row>
    <row r="61">
      <c r="A61" s="1">
        <v>1.2</v>
      </c>
      <c r="B61" s="1">
        <v>1.75439533801299</v>
      </c>
      <c r="C61" s="1">
        <v>0.07892</v>
      </c>
      <c r="D61" s="1">
        <v>0.554395338012999</v>
      </c>
      <c r="E61" s="1">
        <v>23.7377372688</v>
      </c>
      <c r="F61" s="1">
        <v>41.6453755993601</v>
      </c>
      <c r="G61" s="1" t="s">
        <v>220</v>
      </c>
      <c r="H61" s="1" t="s">
        <v>138</v>
      </c>
      <c r="I61" s="1" t="s">
        <v>115</v>
      </c>
    </row>
    <row r="62">
      <c r="A62" s="1">
        <v>0.8</v>
      </c>
      <c r="B62" s="1">
        <v>1.28052124217818</v>
      </c>
      <c r="C62" s="1">
        <v>0.09865</v>
      </c>
      <c r="D62" s="1">
        <v>0.480521242178181</v>
      </c>
      <c r="E62" s="1">
        <v>11.294746616736</v>
      </c>
      <c r="F62" s="1">
        <v>14.4631629677505</v>
      </c>
      <c r="G62" s="1" t="s">
        <v>222</v>
      </c>
      <c r="H62" s="1" t="s">
        <v>56</v>
      </c>
      <c r="I62" s="1" t="s">
        <v>115</v>
      </c>
    </row>
    <row r="63">
      <c r="A63" s="1">
        <v>0.6</v>
      </c>
      <c r="B63" s="1">
        <v>0.960390931633636</v>
      </c>
      <c r="C63" s="1">
        <v>0.09865</v>
      </c>
      <c r="D63" s="1">
        <v>0.360390931633636</v>
      </c>
      <c r="E63" s="1">
        <v>10.919359143648</v>
      </c>
      <c r="F63" s="1">
        <v>10.4868535008103</v>
      </c>
      <c r="G63" s="1" t="s">
        <v>225</v>
      </c>
      <c r="H63" s="1" t="s">
        <v>100</v>
      </c>
      <c r="I63" s="1" t="s">
        <v>115</v>
      </c>
    </row>
    <row r="64">
      <c r="A64" s="1">
        <v>0.5</v>
      </c>
      <c r="B64" s="1">
        <v>0.800325776361363</v>
      </c>
      <c r="C64" s="1">
        <v>0.09865</v>
      </c>
      <c r="D64" s="1">
        <v>0.300325776361363</v>
      </c>
      <c r="E64" s="1">
        <v>11.736378938016</v>
      </c>
      <c r="F64" s="1">
        <v>9.39292658523881</v>
      </c>
      <c r="G64" s="1" t="s">
        <v>228</v>
      </c>
      <c r="H64" s="1" t="s">
        <v>100</v>
      </c>
      <c r="I64" s="1" t="s">
        <v>115</v>
      </c>
    </row>
    <row r="65">
      <c r="A65" s="1">
        <v>0.5</v>
      </c>
      <c r="B65" s="1">
        <v>0.800872272751301</v>
      </c>
      <c r="C65" s="1">
        <v>0.0988</v>
      </c>
      <c r="D65" s="1">
        <v>0.300872272751301</v>
      </c>
      <c r="E65" s="1">
        <v>9.958808844864</v>
      </c>
      <c r="F65" s="1">
        <v>7.97573387348199</v>
      </c>
      <c r="G65" s="1" t="s">
        <v>231</v>
      </c>
      <c r="H65" s="1" t="s">
        <v>100</v>
      </c>
      <c r="I65" s="1" t="s">
        <v>115</v>
      </c>
    </row>
    <row r="66">
      <c r="A66" s="1">
        <v>0.5</v>
      </c>
      <c r="B66" s="1">
        <v>0.800872272751301</v>
      </c>
      <c r="C66" s="1">
        <v>0.0988</v>
      </c>
      <c r="D66" s="1">
        <v>0.300872272751301</v>
      </c>
      <c r="E66" s="1">
        <v>5.06773088668799</v>
      </c>
      <c r="F66" s="1">
        <v>4.05860515291378</v>
      </c>
      <c r="G66" s="1" t="s">
        <v>233</v>
      </c>
      <c r="H66" s="1" t="s">
        <v>100</v>
      </c>
      <c r="I66" s="1" t="s">
        <v>115</v>
      </c>
    </row>
    <row r="67">
      <c r="A67" s="1">
        <v>0.5</v>
      </c>
      <c r="B67" s="1">
        <v>0.730998057505416</v>
      </c>
      <c r="C67" s="1">
        <v>0.07892</v>
      </c>
      <c r="D67" s="1">
        <v>0.230998057505416</v>
      </c>
      <c r="E67" s="1">
        <v>7.706484006336</v>
      </c>
      <c r="F67" s="1">
        <v>5.63342483882817</v>
      </c>
      <c r="G67" s="1" t="s">
        <v>236</v>
      </c>
      <c r="H67" s="1" t="s">
        <v>138</v>
      </c>
      <c r="I67" s="1" t="s">
        <v>115</v>
      </c>
    </row>
    <row r="68">
      <c r="A68" s="1">
        <v>0.5</v>
      </c>
      <c r="B68" s="1">
        <v>0.800872272751301</v>
      </c>
      <c r="C68" s="1">
        <v>0.0988</v>
      </c>
      <c r="D68" s="1">
        <v>0.300872272751301</v>
      </c>
      <c r="E68" s="1">
        <v>9.914645612736</v>
      </c>
      <c r="F68" s="1">
        <v>7.94036476539559</v>
      </c>
      <c r="G68" s="1" t="s">
        <v>238</v>
      </c>
      <c r="H68" s="1" t="s">
        <v>100</v>
      </c>
      <c r="I68" s="1" t="s">
        <v>115</v>
      </c>
    </row>
    <row r="69">
      <c r="A69" s="1">
        <v>0.3</v>
      </c>
      <c r="B69" s="1">
        <v>0.737211339505727</v>
      </c>
      <c r="C69" s="1">
        <v>0.197</v>
      </c>
      <c r="D69" s="1">
        <v>0.437211339505727</v>
      </c>
      <c r="E69" s="1">
        <v>5.034608462592</v>
      </c>
      <c r="F69" s="1">
        <v>3.71157044859431</v>
      </c>
      <c r="G69" s="1" t="s">
        <v>241</v>
      </c>
      <c r="H69" s="1" t="s">
        <v>100</v>
      </c>
      <c r="I69" s="1" t="s">
        <v>115</v>
      </c>
    </row>
    <row r="70">
      <c r="A70" s="1">
        <v>0.3</v>
      </c>
      <c r="B70" s="1">
        <v>0.480195465816818</v>
      </c>
      <c r="C70" s="1">
        <v>0.09865</v>
      </c>
      <c r="D70" s="1">
        <v>0.180195465816818</v>
      </c>
      <c r="E70" s="1">
        <v>4.924200382272</v>
      </c>
      <c r="F70" s="1">
        <v>2.36457869634045</v>
      </c>
      <c r="G70" s="1" t="s">
        <v>245</v>
      </c>
      <c r="H70" s="1" t="s">
        <v>100</v>
      </c>
      <c r="I70" s="1" t="s">
        <v>115</v>
      </c>
    </row>
    <row r="71">
      <c r="A71" s="1">
        <v>0.3</v>
      </c>
      <c r="B71" s="1">
        <v>0.438598834503249</v>
      </c>
      <c r="C71" s="1">
        <v>0.07892</v>
      </c>
      <c r="D71" s="1">
        <v>0.138598834503249</v>
      </c>
      <c r="E71" s="1">
        <v>83.280814985376</v>
      </c>
      <c r="F71" s="1">
        <v>36.5268683890667</v>
      </c>
      <c r="G71" s="1" t="s">
        <v>246</v>
      </c>
      <c r="H71" s="1" t="s">
        <v>138</v>
      </c>
      <c r="I71" s="1" t="s">
        <v>115</v>
      </c>
    </row>
    <row r="72">
      <c r="A72" s="1">
        <v>0.3</v>
      </c>
      <c r="B72" s="1">
        <v>0.480195465816818</v>
      </c>
      <c r="C72" s="1">
        <v>0.09865</v>
      </c>
      <c r="D72" s="1">
        <v>0.180195465816818</v>
      </c>
      <c r="E72" s="1">
        <v>5.509363207968</v>
      </c>
      <c r="F72" s="1">
        <v>2.64557123200423</v>
      </c>
      <c r="G72" s="1" t="s">
        <v>248</v>
      </c>
      <c r="H72" s="1" t="s">
        <v>100</v>
      </c>
      <c r="I72" s="1" t="s">
        <v>115</v>
      </c>
    </row>
    <row r="73">
      <c r="A73" s="1">
        <v>0.2</v>
      </c>
      <c r="B73" s="1">
        <v>0.32034890910052</v>
      </c>
      <c r="C73" s="1">
        <v>0.0988</v>
      </c>
      <c r="D73" s="1">
        <v>0.12034890910052</v>
      </c>
      <c r="E73" s="1">
        <v>6.193893305952</v>
      </c>
      <c r="F73" s="1">
        <v>1.98420696364673</v>
      </c>
      <c r="G73" s="1" t="s">
        <v>250</v>
      </c>
      <c r="H73" s="1" t="s">
        <v>100</v>
      </c>
      <c r="I73" s="1" t="s">
        <v>115</v>
      </c>
    </row>
    <row r="74">
      <c r="A74" s="1">
        <v>0.15</v>
      </c>
      <c r="B74" s="1">
        <v>0.240097732908409</v>
      </c>
      <c r="C74" s="1">
        <v>0.09865</v>
      </c>
      <c r="D74" s="1">
        <v>0.090097732908409</v>
      </c>
      <c r="E74" s="1">
        <v>4.924200382272</v>
      </c>
      <c r="F74" s="1">
        <v>1.18228934817022</v>
      </c>
      <c r="G74" s="1" t="s">
        <v>253</v>
      </c>
      <c r="H74" s="1" t="s">
        <v>100</v>
      </c>
      <c r="I74" s="1" t="s">
        <v>115</v>
      </c>
    </row>
    <row r="75">
      <c r="A75" s="1">
        <v>0.1</v>
      </c>
      <c r="B75" s="1">
        <v>0.16017445455026</v>
      </c>
      <c r="C75" s="1">
        <v>0.0988</v>
      </c>
      <c r="D75" s="1">
        <v>0.0601744545502602</v>
      </c>
      <c r="E75" s="1">
        <v>5.752260984672</v>
      </c>
      <c r="F75" s="1">
        <v>0.92136526565058</v>
      </c>
      <c r="G75" s="1" t="s">
        <v>256</v>
      </c>
      <c r="H75" s="1" t="s">
        <v>100</v>
      </c>
      <c r="I75" s="1" t="s">
        <v>115</v>
      </c>
    </row>
    <row r="76">
      <c r="A76" s="1">
        <v>0.0</v>
      </c>
      <c r="B76" s="1">
        <v>0.0</v>
      </c>
      <c r="C76" s="1">
        <v>0.0985</v>
      </c>
      <c r="D76" s="1">
        <v>0.0</v>
      </c>
      <c r="E76" s="1">
        <v>3.0362222088</v>
      </c>
      <c r="F76" s="1">
        <v>0.0</v>
      </c>
      <c r="G76" s="1" t="s">
        <v>259</v>
      </c>
      <c r="H76" s="1" t="s">
        <v>56</v>
      </c>
      <c r="I76" s="1" t="s">
        <v>115</v>
      </c>
    </row>
    <row r="77">
      <c r="A77" s="1">
        <v>0.0</v>
      </c>
      <c r="B77" s="1">
        <v>0.0</v>
      </c>
      <c r="C77" s="1">
        <v>0.0988</v>
      </c>
      <c r="D77" s="1">
        <v>0.0</v>
      </c>
      <c r="E77" s="1">
        <v>4.957322806368</v>
      </c>
      <c r="F77" s="1">
        <v>0.0</v>
      </c>
      <c r="G77" s="1" t="s">
        <v>261</v>
      </c>
      <c r="H77" s="1" t="s">
        <v>100</v>
      </c>
      <c r="I77" s="1" t="s">
        <v>115</v>
      </c>
    </row>
    <row r="78">
      <c r="A78" s="1">
        <v>0.0</v>
      </c>
      <c r="B78" s="1">
        <v>0.0</v>
      </c>
      <c r="C78" s="1">
        <v>0.0988</v>
      </c>
      <c r="D78" s="1">
        <v>0.0</v>
      </c>
      <c r="E78" s="1">
        <v>0.0</v>
      </c>
      <c r="F78" s="1">
        <v>0.0</v>
      </c>
      <c r="G78" s="1" t="s">
        <v>264</v>
      </c>
      <c r="H78" s="1" t="s">
        <v>56</v>
      </c>
      <c r="I78" s="1" t="s">
        <v>115</v>
      </c>
    </row>
    <row r="79">
      <c r="A79" s="1">
        <v>0.0</v>
      </c>
      <c r="B79" s="1">
        <v>0.0</v>
      </c>
      <c r="C79" s="1">
        <v>0.0988</v>
      </c>
      <c r="D79" s="1">
        <v>0.0</v>
      </c>
      <c r="E79" s="1">
        <v>0.0</v>
      </c>
      <c r="F79" s="1">
        <v>0.0</v>
      </c>
      <c r="G79" s="1" t="s">
        <v>267</v>
      </c>
      <c r="H79" s="1" t="s">
        <v>56</v>
      </c>
      <c r="I79" s="1" t="s">
        <v>115</v>
      </c>
    </row>
  </sheetData>
  <hyperlinks>
    <hyperlink r:id="rId1" ref="G4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 t="s">
        <v>284</v>
      </c>
      <c r="B2" s="1" t="s">
        <v>56</v>
      </c>
      <c r="C2" s="1" t="s">
        <v>285</v>
      </c>
      <c r="D2" s="1" t="s">
        <v>61</v>
      </c>
      <c r="E2" s="1">
        <v>0.0</v>
      </c>
      <c r="F2" s="1">
        <v>0.0</v>
      </c>
      <c r="G2" s="1">
        <v>2011.0</v>
      </c>
      <c r="H2" s="1">
        <v>300.0</v>
      </c>
      <c r="I2" s="1" t="s">
        <v>286</v>
      </c>
      <c r="J2" s="1" t="s">
        <v>58</v>
      </c>
      <c r="K2" s="1" t="b">
        <v>1</v>
      </c>
      <c r="L2" s="1" t="s">
        <v>287</v>
      </c>
      <c r="M2" s="1">
        <v>20.3</v>
      </c>
      <c r="N2" s="1">
        <v>31.6</v>
      </c>
      <c r="O2" s="1">
        <v>23.1</v>
      </c>
      <c r="P2" s="1">
        <v>18.0</v>
      </c>
      <c r="Q2" s="1">
        <v>9.8</v>
      </c>
      <c r="R2" s="1">
        <v>4.9</v>
      </c>
      <c r="S2" s="1">
        <v>37.7</v>
      </c>
      <c r="T2" s="1">
        <v>18.9</v>
      </c>
      <c r="U2" s="1">
        <v>18.8</v>
      </c>
      <c r="V2" s="1">
        <v>14.7</v>
      </c>
      <c r="W2" s="1">
        <v>4.8</v>
      </c>
      <c r="X2" s="1">
        <v>2.0</v>
      </c>
      <c r="Y2" s="1" t="s">
        <v>43</v>
      </c>
      <c r="Z2" s="1">
        <v>1.64</v>
      </c>
      <c r="AA2" s="1">
        <v>2.8</v>
      </c>
      <c r="AB2" s="1">
        <v>204.9</v>
      </c>
      <c r="AC2" s="1">
        <v>225.4</v>
      </c>
      <c r="AD2" s="1">
        <v>247.9</v>
      </c>
      <c r="AE2" s="1">
        <v>272.7</v>
      </c>
      <c r="AF2" s="1">
        <v>300.0</v>
      </c>
    </row>
    <row r="3">
      <c r="A3" s="1" t="s">
        <v>288</v>
      </c>
      <c r="B3" s="1" t="s">
        <v>56</v>
      </c>
      <c r="C3" s="1" t="s">
        <v>285</v>
      </c>
      <c r="D3" s="1" t="s">
        <v>64</v>
      </c>
      <c r="E3" s="1">
        <v>0.0</v>
      </c>
      <c r="F3" s="1">
        <v>0.0</v>
      </c>
      <c r="G3" s="1">
        <v>2009.0</v>
      </c>
      <c r="H3" s="1">
        <v>200.0</v>
      </c>
      <c r="I3" s="1" t="s">
        <v>289</v>
      </c>
      <c r="J3" s="1" t="s">
        <v>58</v>
      </c>
      <c r="K3" s="1" t="b">
        <v>1</v>
      </c>
      <c r="L3" s="1" t="s">
        <v>288</v>
      </c>
      <c r="M3" s="1">
        <v>13.9</v>
      </c>
      <c r="N3" s="1">
        <v>32.7</v>
      </c>
      <c r="O3" s="1">
        <v>16.4</v>
      </c>
      <c r="P3" s="1">
        <v>18.5</v>
      </c>
      <c r="Q3" s="1">
        <v>10.0</v>
      </c>
      <c r="R3" s="1">
        <v>6.8</v>
      </c>
      <c r="S3" s="1">
        <v>35.3</v>
      </c>
      <c r="T3" s="1">
        <v>29.1</v>
      </c>
      <c r="U3" s="1">
        <v>21.8</v>
      </c>
      <c r="V3" s="1">
        <v>15.9</v>
      </c>
      <c r="W3" s="1">
        <v>4.2</v>
      </c>
      <c r="X3" s="1">
        <v>5.6</v>
      </c>
      <c r="Y3" s="1" t="s">
        <v>43</v>
      </c>
      <c r="Z3" s="1">
        <v>2.02</v>
      </c>
      <c r="AA3" s="1">
        <v>2.8</v>
      </c>
      <c r="AB3" s="1">
        <v>136.6</v>
      </c>
      <c r="AC3" s="1">
        <v>150.3</v>
      </c>
      <c r="AD3" s="1">
        <v>165.3</v>
      </c>
      <c r="AE3" s="1">
        <v>181.8</v>
      </c>
      <c r="AF3" s="1">
        <v>200.0</v>
      </c>
    </row>
    <row r="4">
      <c r="A4" s="1" t="s">
        <v>290</v>
      </c>
      <c r="B4" s="1" t="s">
        <v>291</v>
      </c>
      <c r="C4" s="1" t="s">
        <v>292</v>
      </c>
      <c r="D4" s="1" t="s">
        <v>242</v>
      </c>
      <c r="E4" s="1">
        <v>0.0</v>
      </c>
      <c r="F4" s="1">
        <v>0.0</v>
      </c>
      <c r="G4" s="1">
        <v>2017.0</v>
      </c>
      <c r="H4" s="1">
        <v>100.0</v>
      </c>
      <c r="I4" s="1" t="s">
        <v>293</v>
      </c>
      <c r="J4" s="1" t="s">
        <v>294</v>
      </c>
      <c r="K4" s="1" t="b">
        <v>1</v>
      </c>
      <c r="L4" s="1" t="s">
        <v>295</v>
      </c>
      <c r="M4" s="1">
        <v>21.2</v>
      </c>
      <c r="N4" s="1">
        <v>27.6</v>
      </c>
      <c r="O4" s="1">
        <v>19.3</v>
      </c>
      <c r="P4" s="1">
        <v>16.9</v>
      </c>
      <c r="Q4" s="1">
        <v>8.9</v>
      </c>
      <c r="R4" s="1">
        <v>3.1</v>
      </c>
      <c r="S4" s="1">
        <v>40.3</v>
      </c>
      <c r="T4" s="1">
        <v>26.7</v>
      </c>
      <c r="U4" s="1">
        <v>13.6</v>
      </c>
      <c r="V4" s="1">
        <v>11.1</v>
      </c>
      <c r="W4" s="1">
        <v>4.7</v>
      </c>
      <c r="X4" s="1">
        <v>5.9</v>
      </c>
      <c r="Y4" s="1" t="s">
        <v>43</v>
      </c>
      <c r="Z4" s="1">
        <v>2.19</v>
      </c>
      <c r="AA4" s="1">
        <v>3.83</v>
      </c>
      <c r="AB4" s="1">
        <v>68.3</v>
      </c>
      <c r="AC4" s="1">
        <v>75.1</v>
      </c>
      <c r="AD4" s="1">
        <v>82.6</v>
      </c>
      <c r="AE4" s="1">
        <v>90.9</v>
      </c>
      <c r="AF4" s="1">
        <v>100.0</v>
      </c>
    </row>
    <row r="5">
      <c r="A5" s="1" t="s">
        <v>296</v>
      </c>
      <c r="B5" s="1" t="s">
        <v>291</v>
      </c>
      <c r="C5" s="1" t="s">
        <v>292</v>
      </c>
      <c r="D5" s="1" t="s">
        <v>297</v>
      </c>
      <c r="E5" s="1">
        <v>0.0</v>
      </c>
      <c r="F5" s="1">
        <v>0.0</v>
      </c>
      <c r="G5" s="1">
        <v>2013.0</v>
      </c>
      <c r="H5" s="1">
        <v>90.0</v>
      </c>
      <c r="I5" s="1" t="s">
        <v>293</v>
      </c>
      <c r="J5" s="1" t="s">
        <v>41</v>
      </c>
      <c r="K5" s="1" t="b">
        <v>1</v>
      </c>
      <c r="L5" s="1" t="s">
        <v>80</v>
      </c>
      <c r="M5" s="1">
        <v>15.6</v>
      </c>
      <c r="N5" s="1">
        <v>29.6</v>
      </c>
      <c r="O5" s="1">
        <v>18.2</v>
      </c>
      <c r="P5" s="1">
        <v>10.9</v>
      </c>
      <c r="Q5" s="1">
        <v>9.0</v>
      </c>
      <c r="R5" s="1">
        <v>3.7</v>
      </c>
      <c r="S5" s="1">
        <v>29.6</v>
      </c>
      <c r="T5" s="1">
        <v>25.8</v>
      </c>
      <c r="U5" s="1">
        <v>13.0</v>
      </c>
      <c r="V5" s="1">
        <v>13.8</v>
      </c>
      <c r="W5" s="1">
        <v>5.3</v>
      </c>
      <c r="X5" s="1">
        <v>3.0</v>
      </c>
      <c r="Y5" s="1" t="s">
        <v>43</v>
      </c>
      <c r="Z5" s="1">
        <v>1.44</v>
      </c>
      <c r="AA5" s="1">
        <v>3.4</v>
      </c>
      <c r="AB5" s="1">
        <v>61.5</v>
      </c>
      <c r="AC5" s="1">
        <v>67.6</v>
      </c>
      <c r="AD5" s="1">
        <v>74.4</v>
      </c>
      <c r="AE5" s="1">
        <v>81.8</v>
      </c>
      <c r="AF5" s="1">
        <v>90.0</v>
      </c>
    </row>
    <row r="6">
      <c r="A6" s="1" t="s">
        <v>298</v>
      </c>
      <c r="B6" s="1" t="s">
        <v>291</v>
      </c>
      <c r="C6" s="1" t="s">
        <v>292</v>
      </c>
      <c r="D6" s="1" t="s">
        <v>299</v>
      </c>
      <c r="E6" s="1">
        <v>0.0</v>
      </c>
      <c r="F6" s="1">
        <v>0.0</v>
      </c>
      <c r="G6" s="1">
        <v>2014.0</v>
      </c>
      <c r="H6" s="1">
        <v>80.0</v>
      </c>
      <c r="I6" s="1" t="s">
        <v>300</v>
      </c>
      <c r="J6" s="1" t="s">
        <v>41</v>
      </c>
      <c r="K6" s="1" t="b">
        <v>1</v>
      </c>
      <c r="L6" s="1" t="s">
        <v>301</v>
      </c>
      <c r="M6" s="1">
        <v>11.9</v>
      </c>
      <c r="N6" s="1">
        <v>33.3</v>
      </c>
      <c r="O6" s="1">
        <v>21.3</v>
      </c>
      <c r="P6" s="1">
        <v>19.0</v>
      </c>
      <c r="Q6" s="1">
        <v>6.7</v>
      </c>
      <c r="R6" s="1">
        <v>3.2</v>
      </c>
      <c r="S6" s="1">
        <v>40.6</v>
      </c>
      <c r="T6" s="1">
        <v>26.0</v>
      </c>
      <c r="U6" s="1">
        <v>10.2</v>
      </c>
      <c r="V6" s="1">
        <v>10.1</v>
      </c>
      <c r="W6" s="1">
        <v>5.7</v>
      </c>
      <c r="X6" s="1">
        <v>2.4</v>
      </c>
      <c r="Y6" s="1" t="s">
        <v>43</v>
      </c>
      <c r="Z6" s="1">
        <v>1.39</v>
      </c>
      <c r="AA6" s="1">
        <v>3.4</v>
      </c>
      <c r="AB6" s="1">
        <v>54.6</v>
      </c>
      <c r="AC6" s="1">
        <v>60.1</v>
      </c>
      <c r="AD6" s="1">
        <v>66.1</v>
      </c>
      <c r="AE6" s="1">
        <v>72.7</v>
      </c>
      <c r="AF6" s="1">
        <v>80.0</v>
      </c>
    </row>
    <row r="7">
      <c r="A7" s="1" t="s">
        <v>302</v>
      </c>
      <c r="B7" s="1" t="s">
        <v>56</v>
      </c>
      <c r="C7" s="1" t="s">
        <v>285</v>
      </c>
      <c r="D7" s="1" t="s">
        <v>303</v>
      </c>
      <c r="E7" s="1">
        <v>4.99</v>
      </c>
      <c r="F7" s="1">
        <v>49.99</v>
      </c>
      <c r="G7" s="1">
        <v>2015.0</v>
      </c>
      <c r="H7" s="1">
        <v>65.0</v>
      </c>
      <c r="I7" s="1" t="s">
        <v>125</v>
      </c>
      <c r="J7" s="1" t="s">
        <v>58</v>
      </c>
      <c r="K7" s="1" t="b">
        <v>1</v>
      </c>
      <c r="L7" s="1" t="s">
        <v>304</v>
      </c>
      <c r="M7" s="1">
        <v>12.0</v>
      </c>
      <c r="N7" s="1">
        <v>32.4</v>
      </c>
      <c r="O7" s="1">
        <v>21.7</v>
      </c>
      <c r="P7" s="1">
        <v>14.1</v>
      </c>
      <c r="Q7" s="1">
        <v>9.4</v>
      </c>
      <c r="R7" s="1">
        <v>2.4</v>
      </c>
      <c r="S7" s="1">
        <v>43.3</v>
      </c>
      <c r="T7" s="1">
        <v>22.9</v>
      </c>
      <c r="U7" s="1">
        <v>18.2</v>
      </c>
      <c r="V7" s="1">
        <v>15.4</v>
      </c>
      <c r="W7" s="1">
        <v>6.8</v>
      </c>
      <c r="X7" s="1">
        <v>6.9</v>
      </c>
      <c r="Y7" s="1" t="s">
        <v>43</v>
      </c>
      <c r="Z7" s="1">
        <v>2.7</v>
      </c>
      <c r="AA7" s="1">
        <v>3.83</v>
      </c>
      <c r="AB7" s="1">
        <v>44.4</v>
      </c>
      <c r="AC7" s="1">
        <v>48.8</v>
      </c>
      <c r="AD7" s="1">
        <v>53.7</v>
      </c>
      <c r="AE7" s="1">
        <v>59.1</v>
      </c>
      <c r="AF7" s="1">
        <v>65.0</v>
      </c>
    </row>
    <row r="8">
      <c r="A8" s="1" t="s">
        <v>305</v>
      </c>
      <c r="B8" s="1" t="s">
        <v>56</v>
      </c>
      <c r="C8" s="1" t="s">
        <v>285</v>
      </c>
      <c r="D8" s="1" t="s">
        <v>39</v>
      </c>
      <c r="E8" s="1">
        <v>4.99</v>
      </c>
      <c r="F8" s="1">
        <v>49.99</v>
      </c>
      <c r="G8" s="1">
        <v>2007.0</v>
      </c>
      <c r="H8" s="1">
        <v>58.0</v>
      </c>
      <c r="I8" s="1" t="s">
        <v>125</v>
      </c>
      <c r="J8" s="1" t="s">
        <v>58</v>
      </c>
      <c r="K8" s="1" t="b">
        <v>1</v>
      </c>
      <c r="L8" s="1" t="s">
        <v>306</v>
      </c>
      <c r="M8" s="1">
        <v>20.1</v>
      </c>
      <c r="N8" s="1">
        <v>24.4</v>
      </c>
      <c r="O8" s="1">
        <v>19.3</v>
      </c>
      <c r="P8" s="1">
        <v>19.4</v>
      </c>
      <c r="Q8" s="1">
        <v>6.4</v>
      </c>
      <c r="R8" s="1">
        <v>9.0</v>
      </c>
      <c r="S8" s="1">
        <v>43.7</v>
      </c>
      <c r="T8" s="1">
        <v>21.8</v>
      </c>
      <c r="U8" s="1">
        <v>12.6</v>
      </c>
      <c r="V8" s="1">
        <v>13.8</v>
      </c>
      <c r="W8" s="1">
        <v>4.4</v>
      </c>
      <c r="X8" s="1">
        <v>2.4</v>
      </c>
      <c r="Y8" s="1" t="s">
        <v>43</v>
      </c>
      <c r="Z8" s="1">
        <v>3.11</v>
      </c>
      <c r="AA8" s="1">
        <v>3.4</v>
      </c>
      <c r="AB8" s="1">
        <v>39.6</v>
      </c>
      <c r="AC8" s="1">
        <v>43.6</v>
      </c>
      <c r="AD8" s="1">
        <v>47.9</v>
      </c>
      <c r="AE8" s="1">
        <v>52.7</v>
      </c>
      <c r="AF8" s="1">
        <v>58.0</v>
      </c>
    </row>
    <row r="9">
      <c r="A9" s="1" t="s">
        <v>307</v>
      </c>
      <c r="B9" s="1" t="s">
        <v>56</v>
      </c>
      <c r="C9" s="1" t="s">
        <v>285</v>
      </c>
      <c r="D9" s="1" t="s">
        <v>308</v>
      </c>
      <c r="E9" s="1">
        <v>2.99</v>
      </c>
      <c r="F9" s="1">
        <v>29.99</v>
      </c>
      <c r="G9" s="1">
        <v>2014.0</v>
      </c>
      <c r="H9" s="1">
        <v>50.0</v>
      </c>
      <c r="I9" s="1" t="s">
        <v>309</v>
      </c>
      <c r="J9" s="1" t="s">
        <v>58</v>
      </c>
      <c r="K9" s="1" t="b">
        <v>1</v>
      </c>
      <c r="L9" s="1" t="s">
        <v>310</v>
      </c>
      <c r="M9" s="1">
        <v>19.6</v>
      </c>
      <c r="N9" s="1">
        <v>22.0</v>
      </c>
      <c r="O9" s="1">
        <v>16.7</v>
      </c>
      <c r="P9" s="1">
        <v>22.9</v>
      </c>
      <c r="Q9" s="1">
        <v>12.5</v>
      </c>
      <c r="R9" s="1">
        <v>3.7</v>
      </c>
      <c r="S9" s="1">
        <v>38.0</v>
      </c>
      <c r="T9" s="1">
        <v>25.0</v>
      </c>
      <c r="U9" s="1">
        <v>11.6</v>
      </c>
      <c r="V9" s="1">
        <v>13.3</v>
      </c>
      <c r="W9" s="1">
        <v>6.8</v>
      </c>
      <c r="X9" s="1">
        <v>2.9</v>
      </c>
      <c r="Y9" s="1" t="s">
        <v>73</v>
      </c>
      <c r="Z9" s="1">
        <v>1.08</v>
      </c>
      <c r="AA9" s="1">
        <v>4.0</v>
      </c>
      <c r="AB9" s="1">
        <v>34.2</v>
      </c>
      <c r="AC9" s="1">
        <v>37.6</v>
      </c>
      <c r="AD9" s="1">
        <v>41.3</v>
      </c>
      <c r="AE9" s="1">
        <v>45.5</v>
      </c>
      <c r="AF9" s="1">
        <v>50.0</v>
      </c>
    </row>
    <row r="10">
      <c r="A10" s="1" t="s">
        <v>311</v>
      </c>
      <c r="B10" s="1" t="s">
        <v>56</v>
      </c>
      <c r="C10" s="1" t="s">
        <v>285</v>
      </c>
      <c r="D10" s="1" t="s">
        <v>303</v>
      </c>
      <c r="E10" s="1">
        <v>2.99</v>
      </c>
      <c r="F10" s="1">
        <v>29.99</v>
      </c>
      <c r="G10" s="1">
        <v>2015.0</v>
      </c>
      <c r="H10" s="1">
        <v>25.0</v>
      </c>
      <c r="I10" s="1" t="s">
        <v>300</v>
      </c>
      <c r="J10" s="1" t="s">
        <v>58</v>
      </c>
      <c r="K10" s="1" t="b">
        <v>1</v>
      </c>
      <c r="L10" s="1" t="s">
        <v>312</v>
      </c>
      <c r="M10" s="1">
        <v>19.0</v>
      </c>
      <c r="N10" s="1">
        <v>29.6</v>
      </c>
      <c r="O10" s="1">
        <v>20.2</v>
      </c>
      <c r="P10" s="1">
        <v>9.9</v>
      </c>
      <c r="Q10" s="1">
        <v>10.2</v>
      </c>
      <c r="R10" s="1">
        <v>4.7</v>
      </c>
      <c r="S10" s="1">
        <v>40.3</v>
      </c>
      <c r="T10" s="1">
        <v>26.3</v>
      </c>
      <c r="U10" s="1">
        <v>16.8</v>
      </c>
      <c r="V10" s="1">
        <v>7.6</v>
      </c>
      <c r="W10" s="1">
        <v>9.4</v>
      </c>
      <c r="X10" s="1">
        <v>2.8</v>
      </c>
      <c r="Y10" s="1" t="s">
        <v>73</v>
      </c>
      <c r="Z10" s="1">
        <v>0.79</v>
      </c>
      <c r="AA10" s="1">
        <v>4.5</v>
      </c>
      <c r="AB10" s="1">
        <v>17.1</v>
      </c>
      <c r="AC10" s="1">
        <v>18.8</v>
      </c>
      <c r="AD10" s="1">
        <v>20.7</v>
      </c>
      <c r="AE10" s="1">
        <v>22.7</v>
      </c>
      <c r="AF10" s="1">
        <v>25.0</v>
      </c>
    </row>
    <row r="11">
      <c r="A11" s="1" t="s">
        <v>313</v>
      </c>
      <c r="B11" s="1" t="s">
        <v>291</v>
      </c>
      <c r="C11" s="1" t="s">
        <v>292</v>
      </c>
      <c r="D11" s="1" t="s">
        <v>242</v>
      </c>
      <c r="E11" s="1">
        <v>0.0</v>
      </c>
      <c r="F11" s="1">
        <v>0.0</v>
      </c>
      <c r="G11" s="1">
        <v>2011.0</v>
      </c>
      <c r="H11" s="1">
        <v>24.0</v>
      </c>
      <c r="I11" s="1" t="s">
        <v>293</v>
      </c>
      <c r="J11" s="1" t="s">
        <v>58</v>
      </c>
      <c r="K11" s="1" t="b">
        <v>1</v>
      </c>
      <c r="L11" s="1" t="s">
        <v>314</v>
      </c>
      <c r="M11" s="1">
        <v>22.5</v>
      </c>
      <c r="N11" s="1">
        <v>27.8</v>
      </c>
      <c r="O11" s="1">
        <v>19.6</v>
      </c>
      <c r="P11" s="1">
        <v>16.5</v>
      </c>
      <c r="Q11" s="1">
        <v>9.1</v>
      </c>
      <c r="R11" s="1">
        <v>7.3</v>
      </c>
      <c r="S11" s="1">
        <v>35.5</v>
      </c>
      <c r="T11" s="1">
        <v>26.8</v>
      </c>
      <c r="U11" s="1">
        <v>13.1</v>
      </c>
      <c r="V11" s="1">
        <v>13.2</v>
      </c>
      <c r="W11" s="1">
        <v>10.4</v>
      </c>
      <c r="X11" s="1">
        <v>2.7</v>
      </c>
      <c r="Y11" s="1" t="s">
        <v>73</v>
      </c>
      <c r="Z11" s="1">
        <v>3.19</v>
      </c>
      <c r="AA11" s="1">
        <v>4.0</v>
      </c>
      <c r="AB11" s="1">
        <v>16.4</v>
      </c>
      <c r="AC11" s="1">
        <v>18.0</v>
      </c>
      <c r="AD11" s="1">
        <v>19.8</v>
      </c>
      <c r="AE11" s="1">
        <v>21.8</v>
      </c>
      <c r="AF11" s="1">
        <v>24.0</v>
      </c>
    </row>
    <row r="12">
      <c r="A12" s="1" t="s">
        <v>315</v>
      </c>
      <c r="B12" s="1" t="s">
        <v>291</v>
      </c>
      <c r="C12" s="1" t="s">
        <v>292</v>
      </c>
      <c r="D12" s="1" t="s">
        <v>316</v>
      </c>
      <c r="E12" s="1">
        <v>0.0</v>
      </c>
      <c r="F12" s="1">
        <v>0.0</v>
      </c>
      <c r="G12" s="1">
        <v>2007.0</v>
      </c>
      <c r="H12" s="1">
        <v>12.0</v>
      </c>
      <c r="I12" s="1" t="s">
        <v>300</v>
      </c>
      <c r="J12" s="1" t="s">
        <v>58</v>
      </c>
      <c r="K12" s="1" t="b">
        <v>1</v>
      </c>
      <c r="L12" s="1" t="s">
        <v>317</v>
      </c>
      <c r="M12" s="1">
        <v>22.6</v>
      </c>
      <c r="N12" s="1">
        <v>29.7</v>
      </c>
      <c r="O12" s="1">
        <v>25.4</v>
      </c>
      <c r="P12" s="1">
        <v>20.3</v>
      </c>
      <c r="Q12" s="1">
        <v>14.8</v>
      </c>
      <c r="R12" s="1">
        <v>4.4</v>
      </c>
      <c r="S12" s="1">
        <v>37.0</v>
      </c>
      <c r="T12" s="1">
        <v>26.4</v>
      </c>
      <c r="U12" s="1">
        <v>13.7</v>
      </c>
      <c r="V12" s="1">
        <v>10.1</v>
      </c>
      <c r="W12" s="1">
        <v>4.2</v>
      </c>
      <c r="X12" s="1">
        <v>4.9</v>
      </c>
      <c r="Y12" s="1" t="s">
        <v>73</v>
      </c>
      <c r="Z12" s="1">
        <v>1.55</v>
      </c>
      <c r="AA12" s="1">
        <v>4.0</v>
      </c>
      <c r="AB12" s="1">
        <v>8.2</v>
      </c>
      <c r="AC12" s="1">
        <v>9.0</v>
      </c>
      <c r="AD12" s="1">
        <v>9.9</v>
      </c>
      <c r="AE12" s="1">
        <v>10.9</v>
      </c>
      <c r="AF12" s="1">
        <v>12.0</v>
      </c>
    </row>
    <row r="13">
      <c r="A13" s="1" t="s">
        <v>318</v>
      </c>
      <c r="B13" s="1" t="s">
        <v>56</v>
      </c>
      <c r="C13" s="1" t="s">
        <v>285</v>
      </c>
      <c r="D13" s="1" t="s">
        <v>319</v>
      </c>
      <c r="E13" s="1">
        <v>2.99</v>
      </c>
      <c r="F13" s="1">
        <v>29.99</v>
      </c>
      <c r="G13" s="1">
        <v>2015.0</v>
      </c>
      <c r="H13" s="1">
        <v>8.0</v>
      </c>
      <c r="I13" s="1" t="s">
        <v>320</v>
      </c>
      <c r="J13" s="1" t="s">
        <v>58</v>
      </c>
      <c r="K13" s="1" t="b">
        <v>1</v>
      </c>
      <c r="L13" s="1" t="s">
        <v>321</v>
      </c>
      <c r="M13" s="1">
        <v>17.7</v>
      </c>
      <c r="N13" s="1">
        <v>20.6</v>
      </c>
      <c r="O13" s="1">
        <v>17.4</v>
      </c>
      <c r="P13" s="1">
        <v>20.1</v>
      </c>
      <c r="Q13" s="1">
        <v>10.1</v>
      </c>
      <c r="R13" s="1">
        <v>3.3</v>
      </c>
      <c r="S13" s="1">
        <v>31.9</v>
      </c>
      <c r="T13" s="1">
        <v>28.7</v>
      </c>
      <c r="U13" s="1">
        <v>11.6</v>
      </c>
      <c r="V13" s="1">
        <v>18.0</v>
      </c>
      <c r="W13" s="1">
        <v>6.3</v>
      </c>
      <c r="X13" s="1">
        <v>3.0</v>
      </c>
      <c r="Y13" s="1" t="s">
        <v>115</v>
      </c>
      <c r="Z13" s="1">
        <v>2.15</v>
      </c>
      <c r="AA13" s="1">
        <v>4.5</v>
      </c>
      <c r="AB13" s="1">
        <v>5.5</v>
      </c>
      <c r="AC13" s="1">
        <v>6.0</v>
      </c>
      <c r="AD13" s="1">
        <v>6.6</v>
      </c>
      <c r="AE13" s="1">
        <v>7.3</v>
      </c>
      <c r="AF13" s="1">
        <v>8.0</v>
      </c>
    </row>
    <row r="14">
      <c r="A14" s="1" t="s">
        <v>322</v>
      </c>
      <c r="B14" s="1" t="s">
        <v>291</v>
      </c>
      <c r="C14" s="1" t="s">
        <v>292</v>
      </c>
      <c r="D14" s="1" t="s">
        <v>95</v>
      </c>
      <c r="E14" s="1">
        <v>0.0</v>
      </c>
      <c r="F14" s="1">
        <v>0.0</v>
      </c>
      <c r="G14" s="1">
        <v>2004.0</v>
      </c>
      <c r="H14" s="1">
        <v>0.0</v>
      </c>
      <c r="I14" s="1" t="s">
        <v>300</v>
      </c>
      <c r="J14" s="1" t="s">
        <v>58</v>
      </c>
      <c r="K14" s="1" t="b">
        <v>1</v>
      </c>
      <c r="L14" s="1" t="s">
        <v>323</v>
      </c>
      <c r="M14" s="1">
        <v>12.9</v>
      </c>
      <c r="N14" s="1">
        <v>25.8</v>
      </c>
      <c r="O14" s="1">
        <v>18.1</v>
      </c>
      <c r="P14" s="1">
        <v>21.4</v>
      </c>
      <c r="Q14" s="1">
        <v>13.2</v>
      </c>
      <c r="R14" s="1">
        <v>5.6</v>
      </c>
      <c r="S14" s="1">
        <v>29.7</v>
      </c>
      <c r="T14" s="1">
        <v>26.2</v>
      </c>
      <c r="U14" s="1">
        <v>18.5</v>
      </c>
      <c r="V14" s="1">
        <v>13.5</v>
      </c>
      <c r="W14" s="1">
        <v>11.1</v>
      </c>
      <c r="X14" s="1">
        <v>2.6</v>
      </c>
      <c r="Y14" s="1" t="s">
        <v>115</v>
      </c>
      <c r="Z14" s="1">
        <v>1.58</v>
      </c>
      <c r="AA14" s="1">
        <v>4.0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</row>
    <row r="15">
      <c r="A15" s="1" t="s">
        <v>324</v>
      </c>
      <c r="B15" s="1" t="s">
        <v>291</v>
      </c>
      <c r="C15" s="1" t="s">
        <v>292</v>
      </c>
      <c r="D15" s="1" t="s">
        <v>325</v>
      </c>
      <c r="E15" s="1">
        <v>0.0</v>
      </c>
      <c r="F15" s="1">
        <v>0.0</v>
      </c>
      <c r="G15" s="1">
        <v>2006.0</v>
      </c>
      <c r="H15" s="1">
        <v>0.0</v>
      </c>
      <c r="I15" s="1" t="s">
        <v>326</v>
      </c>
      <c r="J15" s="1" t="s">
        <v>58</v>
      </c>
      <c r="K15" s="1" t="b">
        <v>1</v>
      </c>
      <c r="L15" s="1" t="s">
        <v>327</v>
      </c>
      <c r="M15" s="1">
        <v>14.0</v>
      </c>
      <c r="N15" s="1">
        <v>22.4</v>
      </c>
      <c r="O15" s="1">
        <v>23.2</v>
      </c>
      <c r="P15" s="1">
        <v>24.2</v>
      </c>
      <c r="Q15" s="1">
        <v>8.5</v>
      </c>
      <c r="R15" s="1">
        <v>3.4</v>
      </c>
      <c r="S15" s="1">
        <v>36.2</v>
      </c>
      <c r="T15" s="1">
        <v>28.1</v>
      </c>
      <c r="U15" s="1">
        <v>19.2</v>
      </c>
      <c r="V15" s="1">
        <v>9.9</v>
      </c>
      <c r="W15" s="1">
        <v>6.9</v>
      </c>
      <c r="X15" s="1">
        <v>5.8</v>
      </c>
      <c r="Y15" s="1" t="s">
        <v>115</v>
      </c>
      <c r="Z15" s="1">
        <v>0.88</v>
      </c>
      <c r="AA15" s="1">
        <v>4.0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</row>
    <row r="16">
      <c r="A16" s="1" t="s">
        <v>328</v>
      </c>
      <c r="B16" s="1" t="s">
        <v>291</v>
      </c>
      <c r="C16" s="1" t="s">
        <v>292</v>
      </c>
      <c r="D16" s="1" t="s">
        <v>45</v>
      </c>
      <c r="E16" s="1">
        <v>0.0</v>
      </c>
      <c r="F16" s="1">
        <v>0.0</v>
      </c>
      <c r="G16" s="1">
        <v>2009.0</v>
      </c>
      <c r="H16" s="1">
        <v>0.0</v>
      </c>
      <c r="I16" s="1" t="s">
        <v>329</v>
      </c>
      <c r="J16" s="1" t="s">
        <v>58</v>
      </c>
      <c r="K16" s="1" t="b">
        <v>1</v>
      </c>
      <c r="L16" s="1" t="s">
        <v>330</v>
      </c>
      <c r="M16" s="1">
        <v>21.9</v>
      </c>
      <c r="N16" s="1">
        <v>32.2</v>
      </c>
      <c r="O16" s="1">
        <v>26.7</v>
      </c>
      <c r="P16" s="1">
        <v>15.2</v>
      </c>
      <c r="Q16" s="1">
        <v>10.2</v>
      </c>
      <c r="R16" s="1">
        <v>8.9</v>
      </c>
      <c r="S16" s="1">
        <v>34.9</v>
      </c>
      <c r="T16" s="1">
        <v>26.8</v>
      </c>
      <c r="U16" s="1">
        <v>16.6</v>
      </c>
      <c r="V16" s="1">
        <v>11.8</v>
      </c>
      <c r="W16" s="1">
        <v>7.7</v>
      </c>
      <c r="X16" s="1">
        <v>6.7</v>
      </c>
      <c r="Y16" s="1" t="s">
        <v>115</v>
      </c>
      <c r="Z16" s="1">
        <v>2.27</v>
      </c>
      <c r="AA16" s="1">
        <v>4.0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</row>
    <row r="17">
      <c r="A17" s="1" t="s">
        <v>331</v>
      </c>
      <c r="B17" s="1" t="s">
        <v>291</v>
      </c>
      <c r="C17" s="1" t="s">
        <v>292</v>
      </c>
      <c r="D17" s="1" t="s">
        <v>332</v>
      </c>
      <c r="E17" s="1">
        <v>0.0</v>
      </c>
      <c r="F17" s="1">
        <v>0.0</v>
      </c>
      <c r="G17" s="1">
        <v>2019.0</v>
      </c>
      <c r="H17" s="1">
        <v>0.0</v>
      </c>
      <c r="I17" s="1" t="s">
        <v>300</v>
      </c>
      <c r="J17" s="1" t="s">
        <v>58</v>
      </c>
      <c r="K17" s="1" t="b">
        <v>1</v>
      </c>
      <c r="L17" s="1" t="s">
        <v>46</v>
      </c>
      <c r="M17" s="1">
        <v>8.1</v>
      </c>
      <c r="N17" s="1">
        <v>31.3</v>
      </c>
      <c r="O17" s="1">
        <v>21.2</v>
      </c>
      <c r="P17" s="1">
        <v>23.5</v>
      </c>
      <c r="Q17" s="1">
        <v>9.6</v>
      </c>
      <c r="R17" s="1">
        <v>9.6</v>
      </c>
      <c r="S17" s="1">
        <v>42.9</v>
      </c>
      <c r="T17" s="1">
        <v>28.8</v>
      </c>
      <c r="U17" s="1">
        <v>19.8</v>
      </c>
      <c r="V17" s="1">
        <v>16.9</v>
      </c>
      <c r="W17" s="1">
        <v>5.8</v>
      </c>
      <c r="X17" s="1">
        <v>5.1</v>
      </c>
      <c r="Y17" s="1" t="s">
        <v>115</v>
      </c>
      <c r="Z17" s="1">
        <v>2.08</v>
      </c>
      <c r="AA17" s="1">
        <v>4.5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</row>
    <row r="18">
      <c r="A18" s="1" t="s">
        <v>333</v>
      </c>
      <c r="B18" s="1" t="s">
        <v>291</v>
      </c>
      <c r="C18" s="1" t="s">
        <v>292</v>
      </c>
      <c r="D18" s="1" t="s">
        <v>334</v>
      </c>
      <c r="E18" s="1">
        <v>0.0</v>
      </c>
      <c r="F18" s="1">
        <v>0.0</v>
      </c>
      <c r="G18" s="1">
        <v>2011.0</v>
      </c>
      <c r="H18" s="1">
        <v>0.0</v>
      </c>
      <c r="I18" s="1" t="s">
        <v>300</v>
      </c>
      <c r="J18" s="1" t="s">
        <v>58</v>
      </c>
      <c r="K18" s="1" t="b">
        <v>1</v>
      </c>
      <c r="L18" s="1" t="s">
        <v>306</v>
      </c>
      <c r="M18" s="1">
        <v>11.0</v>
      </c>
      <c r="N18" s="1">
        <v>21.5</v>
      </c>
      <c r="O18" s="1">
        <v>22.0</v>
      </c>
      <c r="P18" s="1">
        <v>14.8</v>
      </c>
      <c r="Q18" s="1">
        <v>11.9</v>
      </c>
      <c r="R18" s="1">
        <v>3.9</v>
      </c>
      <c r="S18" s="1">
        <v>38.6</v>
      </c>
      <c r="T18" s="1">
        <v>23.1</v>
      </c>
      <c r="U18" s="1">
        <v>19.9</v>
      </c>
      <c r="V18" s="1">
        <v>11.5</v>
      </c>
      <c r="W18" s="1">
        <v>6.7</v>
      </c>
      <c r="X18" s="1">
        <v>4.6</v>
      </c>
      <c r="Y18" s="1" t="s">
        <v>115</v>
      </c>
      <c r="Z18" s="1">
        <v>1.11</v>
      </c>
      <c r="AA18" s="1">
        <v>4.0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</row>
    <row r="19">
      <c r="A19" s="1" t="s">
        <v>335</v>
      </c>
      <c r="B19" s="1" t="s">
        <v>291</v>
      </c>
      <c r="C19" s="1" t="s">
        <v>292</v>
      </c>
      <c r="D19" s="1" t="s">
        <v>325</v>
      </c>
      <c r="E19" s="1">
        <v>0.0</v>
      </c>
      <c r="F19" s="1">
        <v>0.0</v>
      </c>
      <c r="G19" s="1">
        <v>2007.0</v>
      </c>
      <c r="H19" s="1">
        <v>0.0</v>
      </c>
      <c r="I19" s="1" t="s">
        <v>336</v>
      </c>
      <c r="J19" s="1" t="s">
        <v>58</v>
      </c>
      <c r="K19" s="1" t="b">
        <v>1</v>
      </c>
      <c r="L19" s="1" t="s">
        <v>337</v>
      </c>
      <c r="M19" s="1">
        <v>10.6</v>
      </c>
      <c r="N19" s="1">
        <v>21.6</v>
      </c>
      <c r="O19" s="1">
        <v>23.0</v>
      </c>
      <c r="P19" s="1">
        <v>16.4</v>
      </c>
      <c r="Q19" s="1">
        <v>11.8</v>
      </c>
      <c r="R19" s="1">
        <v>10.1</v>
      </c>
      <c r="S19" s="1">
        <v>35.8</v>
      </c>
      <c r="T19" s="1">
        <v>25.1</v>
      </c>
      <c r="U19" s="1">
        <v>21.2</v>
      </c>
      <c r="V19" s="1">
        <v>15.9</v>
      </c>
      <c r="W19" s="1">
        <v>7.1</v>
      </c>
      <c r="X19" s="1">
        <v>3.4</v>
      </c>
      <c r="Y19" s="1" t="s">
        <v>115</v>
      </c>
      <c r="Z19" s="1">
        <v>1.86</v>
      </c>
      <c r="AA19" s="1">
        <v>4.0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</row>
    <row r="20">
      <c r="A20" s="1" t="s">
        <v>338</v>
      </c>
      <c r="B20" s="1" t="s">
        <v>291</v>
      </c>
      <c r="C20" s="1" t="s">
        <v>292</v>
      </c>
      <c r="D20" s="1" t="s">
        <v>325</v>
      </c>
      <c r="E20" s="1">
        <v>0.0</v>
      </c>
      <c r="F20" s="1">
        <v>0.0</v>
      </c>
      <c r="G20" s="1">
        <v>2008.0</v>
      </c>
      <c r="H20" s="1">
        <v>0.0</v>
      </c>
      <c r="I20" s="1" t="s">
        <v>339</v>
      </c>
      <c r="J20" s="1" t="s">
        <v>58</v>
      </c>
      <c r="K20" s="1" t="b">
        <v>1</v>
      </c>
      <c r="L20" s="1" t="s">
        <v>340</v>
      </c>
      <c r="M20" s="1">
        <v>13.3</v>
      </c>
      <c r="N20" s="1">
        <v>25.5</v>
      </c>
      <c r="O20" s="1">
        <v>18.7</v>
      </c>
      <c r="P20" s="1">
        <v>16.9</v>
      </c>
      <c r="Q20" s="1">
        <v>12.9</v>
      </c>
      <c r="R20" s="1">
        <v>4.2</v>
      </c>
      <c r="S20" s="1">
        <v>39.3</v>
      </c>
      <c r="T20" s="1">
        <v>19.1</v>
      </c>
      <c r="U20" s="1">
        <v>14.2</v>
      </c>
      <c r="V20" s="1">
        <v>13.8</v>
      </c>
      <c r="W20" s="1">
        <v>3.8</v>
      </c>
      <c r="X20" s="1">
        <v>2.9</v>
      </c>
      <c r="Y20" s="1" t="s">
        <v>115</v>
      </c>
      <c r="Z20" s="1">
        <v>2.89</v>
      </c>
      <c r="AA20" s="1">
        <v>4.0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</row>
    <row r="21">
      <c r="A21" s="1" t="s">
        <v>341</v>
      </c>
      <c r="B21" s="1" t="s">
        <v>291</v>
      </c>
      <c r="C21" s="1" t="s">
        <v>292</v>
      </c>
      <c r="D21" s="1" t="s">
        <v>182</v>
      </c>
      <c r="E21" s="1">
        <v>0.0</v>
      </c>
      <c r="F21" s="1">
        <v>0.0</v>
      </c>
      <c r="G21" s="1">
        <v>2015.0</v>
      </c>
      <c r="H21" s="1">
        <v>0.0</v>
      </c>
      <c r="I21" s="1" t="s">
        <v>342</v>
      </c>
      <c r="J21" s="1" t="s">
        <v>58</v>
      </c>
      <c r="K21" s="1" t="b">
        <v>1</v>
      </c>
      <c r="L21" s="1" t="s">
        <v>343</v>
      </c>
      <c r="M21" s="1">
        <v>17.9</v>
      </c>
      <c r="N21" s="1">
        <v>21.5</v>
      </c>
      <c r="O21" s="1">
        <v>21.8</v>
      </c>
      <c r="P21" s="1">
        <v>12.6</v>
      </c>
      <c r="Q21" s="1">
        <v>7.9</v>
      </c>
      <c r="R21" s="1">
        <v>2.4</v>
      </c>
      <c r="S21" s="1">
        <v>34.6</v>
      </c>
      <c r="T21" s="1">
        <v>26.1</v>
      </c>
      <c r="U21" s="1">
        <v>10.6</v>
      </c>
      <c r="V21" s="1">
        <v>14.7</v>
      </c>
      <c r="W21" s="1">
        <v>7.0</v>
      </c>
      <c r="X21" s="1">
        <v>5.9</v>
      </c>
      <c r="Y21" s="1" t="s">
        <v>115</v>
      </c>
      <c r="Z21" s="1">
        <v>2.27</v>
      </c>
      <c r="AA21" s="1">
        <v>4.5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</row>
    <row r="22">
      <c r="A22" s="1" t="s">
        <v>344</v>
      </c>
      <c r="B22" s="1" t="s">
        <v>56</v>
      </c>
      <c r="C22" s="1" t="s">
        <v>285</v>
      </c>
      <c r="D22" s="1" t="s">
        <v>182</v>
      </c>
      <c r="E22" s="1">
        <v>0.0</v>
      </c>
      <c r="F22" s="1">
        <v>0.0</v>
      </c>
      <c r="G22" s="1">
        <v>2016.0</v>
      </c>
      <c r="H22" s="1">
        <v>0.0</v>
      </c>
      <c r="I22" s="1" t="s">
        <v>345</v>
      </c>
      <c r="J22" s="1" t="s">
        <v>58</v>
      </c>
      <c r="K22" s="1" t="b">
        <v>1</v>
      </c>
      <c r="L22" s="1" t="s">
        <v>346</v>
      </c>
      <c r="M22" s="1">
        <v>10.7</v>
      </c>
      <c r="N22" s="1">
        <v>27.0</v>
      </c>
      <c r="O22" s="1">
        <v>21.6</v>
      </c>
      <c r="P22" s="1">
        <v>16.4</v>
      </c>
      <c r="Q22" s="1">
        <v>7.7</v>
      </c>
      <c r="R22" s="1">
        <v>10.1</v>
      </c>
      <c r="S22" s="1">
        <v>35.9</v>
      </c>
      <c r="T22" s="1">
        <v>25.1</v>
      </c>
      <c r="U22" s="1">
        <v>10.2</v>
      </c>
      <c r="V22" s="1">
        <v>16.8</v>
      </c>
      <c r="W22" s="1">
        <v>4.4</v>
      </c>
      <c r="X22" s="1">
        <v>3.4</v>
      </c>
      <c r="Y22" s="1" t="s">
        <v>115</v>
      </c>
      <c r="Z22" s="1">
        <v>0.79</v>
      </c>
      <c r="AA22" s="1">
        <v>4.5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</row>
    <row r="23">
      <c r="A23" s="1" t="s">
        <v>347</v>
      </c>
      <c r="B23" s="1" t="s">
        <v>56</v>
      </c>
      <c r="C23" s="1" t="s">
        <v>285</v>
      </c>
      <c r="D23" s="1" t="s">
        <v>192</v>
      </c>
      <c r="E23" s="1">
        <v>0.0</v>
      </c>
      <c r="F23" s="1">
        <v>0.0</v>
      </c>
      <c r="G23" s="1">
        <v>2016.0</v>
      </c>
      <c r="H23" s="1">
        <v>0.0</v>
      </c>
      <c r="I23" s="1" t="s">
        <v>110</v>
      </c>
      <c r="J23" s="1" t="s">
        <v>58</v>
      </c>
      <c r="K23" s="1" t="b">
        <v>1</v>
      </c>
      <c r="L23" s="1" t="s">
        <v>348</v>
      </c>
      <c r="M23" s="1">
        <v>20.8</v>
      </c>
      <c r="N23" s="1">
        <v>25.5</v>
      </c>
      <c r="O23" s="1">
        <v>21.3</v>
      </c>
      <c r="P23" s="1">
        <v>13.3</v>
      </c>
      <c r="Q23" s="1">
        <v>12.9</v>
      </c>
      <c r="R23" s="1">
        <v>5.7</v>
      </c>
      <c r="S23" s="1">
        <v>33.5</v>
      </c>
      <c r="T23" s="1">
        <v>20.5</v>
      </c>
      <c r="U23" s="1">
        <v>10.8</v>
      </c>
      <c r="V23" s="1">
        <v>14.1</v>
      </c>
      <c r="W23" s="1">
        <v>10.4</v>
      </c>
      <c r="X23" s="1">
        <v>1.9</v>
      </c>
      <c r="Y23" s="1" t="s">
        <v>115</v>
      </c>
      <c r="Z23" s="1">
        <v>2.14</v>
      </c>
      <c r="AA23" s="1">
        <v>4.5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</row>
    <row r="24">
      <c r="A24" s="1" t="s">
        <v>349</v>
      </c>
      <c r="B24" s="1" t="s">
        <v>56</v>
      </c>
      <c r="C24" s="1" t="s">
        <v>285</v>
      </c>
      <c r="D24" s="1" t="s">
        <v>192</v>
      </c>
      <c r="E24" s="1">
        <v>0.0</v>
      </c>
      <c r="F24" s="1">
        <v>0.0</v>
      </c>
      <c r="G24" s="1">
        <v>2016.0</v>
      </c>
      <c r="H24" s="1">
        <v>0.0</v>
      </c>
      <c r="I24" s="1" t="s">
        <v>40</v>
      </c>
      <c r="J24" s="1" t="s">
        <v>58</v>
      </c>
      <c r="K24" s="1" t="b">
        <v>1</v>
      </c>
      <c r="L24" s="1" t="s">
        <v>260</v>
      </c>
      <c r="M24" s="1">
        <v>19.0</v>
      </c>
      <c r="N24" s="1">
        <v>30.9</v>
      </c>
      <c r="O24" s="1">
        <v>27.8</v>
      </c>
      <c r="P24" s="1">
        <v>16.8</v>
      </c>
      <c r="Q24" s="1">
        <v>9.3</v>
      </c>
      <c r="R24" s="1">
        <v>4.0</v>
      </c>
      <c r="S24" s="1">
        <v>40.1</v>
      </c>
      <c r="T24" s="1">
        <v>27.2</v>
      </c>
      <c r="U24" s="1">
        <v>15.9</v>
      </c>
      <c r="V24" s="1">
        <v>16.5</v>
      </c>
      <c r="W24" s="1">
        <v>8.1</v>
      </c>
      <c r="X24" s="1">
        <v>5.5</v>
      </c>
      <c r="Y24" s="1" t="s">
        <v>115</v>
      </c>
      <c r="Z24" s="1">
        <v>2.61</v>
      </c>
      <c r="AA24" s="1">
        <v>4.5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</row>
    <row r="25">
      <c r="A25" s="1" t="s">
        <v>350</v>
      </c>
      <c r="B25" s="1" t="s">
        <v>56</v>
      </c>
      <c r="C25" s="1" t="s">
        <v>285</v>
      </c>
      <c r="D25" s="1" t="s">
        <v>61</v>
      </c>
      <c r="E25" s="1">
        <v>0.0</v>
      </c>
      <c r="F25" s="1">
        <v>0.0</v>
      </c>
      <c r="G25" s="1">
        <v>2012.0</v>
      </c>
      <c r="H25" s="1">
        <v>0.0</v>
      </c>
      <c r="I25" s="1" t="s">
        <v>351</v>
      </c>
      <c r="J25" s="1" t="s">
        <v>58</v>
      </c>
      <c r="K25" s="1" t="b">
        <v>1</v>
      </c>
      <c r="L25" s="1" t="s">
        <v>350</v>
      </c>
      <c r="M25" s="1">
        <v>19.3</v>
      </c>
      <c r="N25" s="1">
        <v>23.2</v>
      </c>
      <c r="O25" s="1">
        <v>22.9</v>
      </c>
      <c r="P25" s="1">
        <v>10.9</v>
      </c>
      <c r="Q25" s="1">
        <v>12.8</v>
      </c>
      <c r="R25" s="1">
        <v>4.6</v>
      </c>
      <c r="S25" s="1">
        <v>40.2</v>
      </c>
      <c r="T25" s="1">
        <v>29.6</v>
      </c>
      <c r="U25" s="1">
        <v>19.5</v>
      </c>
      <c r="V25" s="1">
        <v>9.4</v>
      </c>
      <c r="W25" s="1">
        <v>7.3</v>
      </c>
      <c r="X25" s="1">
        <v>6.6</v>
      </c>
      <c r="Y25" s="1" t="s">
        <v>115</v>
      </c>
      <c r="Z25" s="1">
        <v>2.88</v>
      </c>
      <c r="AA25" s="1">
        <v>4.0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</row>
    <row r="26">
      <c r="A26" s="1" t="s">
        <v>352</v>
      </c>
      <c r="B26" s="1" t="s">
        <v>291</v>
      </c>
      <c r="C26" s="1" t="s">
        <v>292</v>
      </c>
      <c r="D26" s="1" t="s">
        <v>353</v>
      </c>
      <c r="E26" s="1">
        <v>0.0</v>
      </c>
      <c r="F26" s="1">
        <v>0.0</v>
      </c>
      <c r="G26" s="1">
        <v>2008.0</v>
      </c>
      <c r="H26" s="1">
        <v>0.0</v>
      </c>
      <c r="I26" s="1" t="s">
        <v>354</v>
      </c>
      <c r="J26" s="1" t="s">
        <v>58</v>
      </c>
      <c r="K26" s="1" t="b">
        <v>1</v>
      </c>
      <c r="L26" s="1" t="s">
        <v>355</v>
      </c>
      <c r="M26" s="1">
        <v>20.5</v>
      </c>
      <c r="N26" s="1">
        <v>28.8</v>
      </c>
      <c r="O26" s="1">
        <v>16.6</v>
      </c>
      <c r="P26" s="1">
        <v>18.1</v>
      </c>
      <c r="Q26" s="1">
        <v>13.4</v>
      </c>
      <c r="R26" s="1">
        <v>4.9</v>
      </c>
      <c r="S26" s="1">
        <v>32.8</v>
      </c>
      <c r="T26" s="1">
        <v>17.8</v>
      </c>
      <c r="U26" s="1">
        <v>14.0</v>
      </c>
      <c r="V26" s="1">
        <v>8.5</v>
      </c>
      <c r="W26" s="1">
        <v>10.1</v>
      </c>
      <c r="X26" s="1">
        <v>7.1</v>
      </c>
      <c r="Y26" s="1" t="s">
        <v>115</v>
      </c>
      <c r="Z26" s="1">
        <v>2.39</v>
      </c>
      <c r="AA26" s="1">
        <v>4.0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</row>
    <row r="27">
      <c r="A27" s="1" t="s">
        <v>356</v>
      </c>
      <c r="B27" s="1" t="s">
        <v>291</v>
      </c>
      <c r="C27" s="1" t="s">
        <v>292</v>
      </c>
      <c r="D27" s="1" t="s">
        <v>130</v>
      </c>
      <c r="E27" s="1">
        <v>0.0</v>
      </c>
      <c r="F27" s="1">
        <v>0.0</v>
      </c>
      <c r="G27" s="1">
        <v>2010.0</v>
      </c>
      <c r="H27" s="1">
        <v>0.0</v>
      </c>
      <c r="I27" s="1" t="s">
        <v>357</v>
      </c>
      <c r="J27" s="1" t="s">
        <v>58</v>
      </c>
      <c r="K27" s="1" t="b">
        <v>1</v>
      </c>
      <c r="L27" s="1" t="s">
        <v>355</v>
      </c>
      <c r="M27" s="1">
        <v>22.9</v>
      </c>
      <c r="N27" s="1">
        <v>24.6</v>
      </c>
      <c r="O27" s="1">
        <v>28.0</v>
      </c>
      <c r="P27" s="1">
        <v>11.5</v>
      </c>
      <c r="Q27" s="1">
        <v>11.7</v>
      </c>
      <c r="R27" s="1">
        <v>5.3</v>
      </c>
      <c r="S27" s="1">
        <v>37.9</v>
      </c>
      <c r="T27" s="1">
        <v>32.5</v>
      </c>
      <c r="U27" s="1">
        <v>16.8</v>
      </c>
      <c r="V27" s="1">
        <v>9.8</v>
      </c>
      <c r="W27" s="1">
        <v>10.3</v>
      </c>
      <c r="X27" s="1">
        <v>5.8</v>
      </c>
      <c r="Y27" s="1" t="s">
        <v>115</v>
      </c>
      <c r="Z27" s="1">
        <v>0.96</v>
      </c>
      <c r="AA27" s="1">
        <v>4.0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</row>
    <row r="28">
      <c r="A28" s="1" t="s">
        <v>358</v>
      </c>
      <c r="B28" s="1" t="s">
        <v>56</v>
      </c>
      <c r="C28" s="1" t="s">
        <v>285</v>
      </c>
      <c r="D28" s="1" t="s">
        <v>166</v>
      </c>
      <c r="E28" s="1">
        <v>4.99</v>
      </c>
      <c r="F28" s="1">
        <v>49.99</v>
      </c>
      <c r="G28" s="1">
        <v>2018.0</v>
      </c>
      <c r="H28" s="1">
        <v>0.0</v>
      </c>
      <c r="I28" s="1" t="s">
        <v>359</v>
      </c>
      <c r="J28" s="1" t="s">
        <v>58</v>
      </c>
      <c r="K28" s="1" t="b">
        <v>1</v>
      </c>
      <c r="L28" s="1" t="s">
        <v>360</v>
      </c>
      <c r="M28" s="1">
        <v>9.5</v>
      </c>
      <c r="N28" s="1">
        <v>25.9</v>
      </c>
      <c r="O28" s="1">
        <v>15.9</v>
      </c>
      <c r="P28" s="1">
        <v>11.0</v>
      </c>
      <c r="Q28" s="1">
        <v>9.6</v>
      </c>
      <c r="R28" s="1">
        <v>3.0</v>
      </c>
      <c r="S28" s="1">
        <v>37.1</v>
      </c>
      <c r="T28" s="1">
        <v>27.1</v>
      </c>
      <c r="U28" s="1">
        <v>13.7</v>
      </c>
      <c r="V28" s="1">
        <v>10.6</v>
      </c>
      <c r="W28" s="1">
        <v>9.7</v>
      </c>
      <c r="X28" s="1">
        <v>3.7</v>
      </c>
      <c r="Y28" s="1" t="s">
        <v>115</v>
      </c>
      <c r="Z28" s="1">
        <v>2.63</v>
      </c>
      <c r="AA28" s="1">
        <v>4.5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</row>
    <row r="29">
      <c r="A29" s="1" t="s">
        <v>361</v>
      </c>
      <c r="B29" s="1" t="s">
        <v>291</v>
      </c>
      <c r="C29" s="1" t="s">
        <v>292</v>
      </c>
      <c r="D29" s="1" t="s">
        <v>362</v>
      </c>
      <c r="E29" s="1">
        <v>0.0</v>
      </c>
      <c r="F29" s="1">
        <v>0.0</v>
      </c>
      <c r="G29" s="1">
        <v>2020.0</v>
      </c>
      <c r="H29" s="1">
        <v>0.0</v>
      </c>
      <c r="I29" s="1" t="s">
        <v>363</v>
      </c>
      <c r="J29" s="1" t="s">
        <v>58</v>
      </c>
      <c r="K29" s="1" t="b">
        <v>1</v>
      </c>
      <c r="L29" s="1" t="s">
        <v>301</v>
      </c>
      <c r="M29" s="1">
        <v>13.0</v>
      </c>
      <c r="N29" s="1">
        <v>27.7</v>
      </c>
      <c r="O29" s="1">
        <v>28.2</v>
      </c>
      <c r="P29" s="1">
        <v>19.3</v>
      </c>
      <c r="Q29" s="1">
        <v>10.2</v>
      </c>
      <c r="R29" s="1">
        <v>9.1</v>
      </c>
      <c r="S29" s="1">
        <v>39.7</v>
      </c>
      <c r="T29" s="1">
        <v>29.5</v>
      </c>
      <c r="U29" s="1">
        <v>15.0</v>
      </c>
      <c r="V29" s="1">
        <v>15.1</v>
      </c>
      <c r="W29" s="1">
        <v>9.8</v>
      </c>
      <c r="X29" s="1">
        <v>6.5</v>
      </c>
      <c r="Y29" s="1" t="s">
        <v>115</v>
      </c>
      <c r="Z29" s="1">
        <v>2.53</v>
      </c>
      <c r="AA29" s="1">
        <v>5.0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</row>
    <row r="30">
      <c r="A30" s="1" t="s">
        <v>364</v>
      </c>
      <c r="B30" s="1" t="s">
        <v>291</v>
      </c>
      <c r="C30" s="1" t="s">
        <v>292</v>
      </c>
      <c r="D30" s="1" t="s">
        <v>95</v>
      </c>
      <c r="E30" s="1">
        <v>0.0</v>
      </c>
      <c r="F30" s="1">
        <v>0.0</v>
      </c>
      <c r="G30" s="1">
        <v>2011.0</v>
      </c>
      <c r="H30" s="1">
        <v>0.0</v>
      </c>
      <c r="I30" s="1" t="s">
        <v>365</v>
      </c>
      <c r="J30" s="1" t="s">
        <v>58</v>
      </c>
      <c r="K30" s="1" t="b">
        <v>1</v>
      </c>
      <c r="L30" s="1" t="s">
        <v>263</v>
      </c>
      <c r="M30" s="1">
        <v>8.7</v>
      </c>
      <c r="N30" s="1">
        <v>32.6</v>
      </c>
      <c r="O30" s="1">
        <v>16.9</v>
      </c>
      <c r="P30" s="1">
        <v>13.2</v>
      </c>
      <c r="Q30" s="1">
        <v>13.8</v>
      </c>
      <c r="R30" s="1">
        <v>11.0</v>
      </c>
      <c r="S30" s="1">
        <v>36.6</v>
      </c>
      <c r="T30" s="1">
        <v>25.3</v>
      </c>
      <c r="U30" s="1">
        <v>11.2</v>
      </c>
      <c r="V30" s="1">
        <v>16.6</v>
      </c>
      <c r="W30" s="1">
        <v>5.8</v>
      </c>
      <c r="X30" s="1">
        <v>6.0</v>
      </c>
      <c r="Y30" s="1" t="s">
        <v>115</v>
      </c>
      <c r="Z30" s="1">
        <v>0.57</v>
      </c>
      <c r="AA30" s="1">
        <v>4.0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</row>
    <row r="31">
      <c r="A31" s="1" t="s">
        <v>366</v>
      </c>
      <c r="B31" s="1" t="s">
        <v>291</v>
      </c>
      <c r="C31" s="1" t="s">
        <v>292</v>
      </c>
      <c r="D31" s="1" t="s">
        <v>95</v>
      </c>
      <c r="E31" s="1">
        <v>0.0</v>
      </c>
      <c r="F31" s="1">
        <v>0.0</v>
      </c>
      <c r="G31" s="1">
        <v>2011.0</v>
      </c>
      <c r="H31" s="1">
        <v>0.0</v>
      </c>
      <c r="I31" s="1" t="s">
        <v>367</v>
      </c>
      <c r="J31" s="1" t="s">
        <v>58</v>
      </c>
      <c r="K31" s="1" t="b">
        <v>1</v>
      </c>
      <c r="L31" s="1" t="s">
        <v>54</v>
      </c>
      <c r="M31" s="1">
        <v>21.3</v>
      </c>
      <c r="N31" s="1">
        <v>24.9</v>
      </c>
      <c r="O31" s="1">
        <v>16.6</v>
      </c>
      <c r="P31" s="1">
        <v>13.3</v>
      </c>
      <c r="Q31" s="1">
        <v>11.7</v>
      </c>
      <c r="R31" s="1">
        <v>6.7</v>
      </c>
      <c r="S31" s="1">
        <v>33.0</v>
      </c>
      <c r="T31" s="1">
        <v>22.9</v>
      </c>
      <c r="U31" s="1">
        <v>18.9</v>
      </c>
      <c r="V31" s="1">
        <v>8.1</v>
      </c>
      <c r="W31" s="1">
        <v>3.6</v>
      </c>
      <c r="X31" s="1">
        <v>9.5</v>
      </c>
      <c r="Y31" s="1" t="s">
        <v>115</v>
      </c>
      <c r="Z31" s="1">
        <v>1.74</v>
      </c>
      <c r="AA31" s="1">
        <v>4.0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</row>
    <row r="32">
      <c r="A32" s="1" t="s">
        <v>368</v>
      </c>
      <c r="B32" s="1" t="s">
        <v>291</v>
      </c>
      <c r="C32" s="1" t="s">
        <v>292</v>
      </c>
      <c r="D32" s="1" t="s">
        <v>95</v>
      </c>
      <c r="E32" s="1">
        <v>0.0</v>
      </c>
      <c r="F32" s="1">
        <v>0.0</v>
      </c>
      <c r="G32" s="1">
        <v>2011.0</v>
      </c>
      <c r="H32" s="1">
        <v>0.0</v>
      </c>
      <c r="I32" s="1" t="s">
        <v>369</v>
      </c>
      <c r="J32" s="1" t="s">
        <v>58</v>
      </c>
      <c r="K32" s="1" t="b">
        <v>1</v>
      </c>
      <c r="L32" s="1" t="s">
        <v>80</v>
      </c>
      <c r="M32" s="1">
        <v>14.7</v>
      </c>
      <c r="N32" s="1">
        <v>29.0</v>
      </c>
      <c r="O32" s="1">
        <v>19.4</v>
      </c>
      <c r="P32" s="1">
        <v>21.0</v>
      </c>
      <c r="Q32" s="1">
        <v>7.8</v>
      </c>
      <c r="R32" s="1">
        <v>7.2</v>
      </c>
      <c r="S32" s="1">
        <v>32.8</v>
      </c>
      <c r="T32" s="1">
        <v>21.5</v>
      </c>
      <c r="U32" s="1">
        <v>11.6</v>
      </c>
      <c r="V32" s="1">
        <v>11.4</v>
      </c>
      <c r="W32" s="1">
        <v>8.0</v>
      </c>
      <c r="X32" s="1">
        <v>4.1</v>
      </c>
      <c r="Y32" s="1" t="s">
        <v>115</v>
      </c>
      <c r="Z32" s="1">
        <v>1.5</v>
      </c>
      <c r="AA32" s="1">
        <v>4.0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</row>
    <row r="33">
      <c r="A33" s="1" t="s">
        <v>370</v>
      </c>
      <c r="B33" s="1" t="s">
        <v>291</v>
      </c>
      <c r="C33" s="1" t="s">
        <v>292</v>
      </c>
      <c r="D33" s="1" t="s">
        <v>95</v>
      </c>
      <c r="E33" s="1">
        <v>0.0</v>
      </c>
      <c r="F33" s="1">
        <v>0.0</v>
      </c>
      <c r="G33" s="1">
        <v>2012.0</v>
      </c>
      <c r="H33" s="1">
        <v>0.0</v>
      </c>
      <c r="I33" s="1" t="s">
        <v>371</v>
      </c>
      <c r="J33" s="1" t="s">
        <v>58</v>
      </c>
      <c r="K33" s="1" t="b">
        <v>1</v>
      </c>
      <c r="L33" s="1" t="s">
        <v>50</v>
      </c>
      <c r="M33" s="1">
        <v>11.3</v>
      </c>
      <c r="N33" s="1">
        <v>31.5</v>
      </c>
      <c r="O33" s="1">
        <v>21.0</v>
      </c>
      <c r="P33" s="1">
        <v>21.1</v>
      </c>
      <c r="Q33" s="1">
        <v>11.0</v>
      </c>
      <c r="R33" s="1">
        <v>6.6</v>
      </c>
      <c r="S33" s="1">
        <v>40.3</v>
      </c>
      <c r="T33" s="1">
        <v>20.6</v>
      </c>
      <c r="U33" s="1">
        <v>9.9</v>
      </c>
      <c r="V33" s="1">
        <v>11.4</v>
      </c>
      <c r="W33" s="1">
        <v>6.8</v>
      </c>
      <c r="X33" s="1">
        <v>3.6</v>
      </c>
      <c r="Y33" s="1" t="s">
        <v>115</v>
      </c>
      <c r="Z33" s="1">
        <v>2.51</v>
      </c>
      <c r="AA33" s="1">
        <v>4.0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</row>
    <row r="34">
      <c r="A34" s="1" t="s">
        <v>372</v>
      </c>
      <c r="B34" s="1" t="s">
        <v>291</v>
      </c>
      <c r="C34" s="1" t="s">
        <v>292</v>
      </c>
      <c r="D34" s="1" t="s">
        <v>130</v>
      </c>
      <c r="E34" s="1">
        <v>0.0</v>
      </c>
      <c r="F34" s="1">
        <v>0.0</v>
      </c>
      <c r="G34" s="1">
        <v>2020.0</v>
      </c>
      <c r="H34" s="1">
        <v>0.0</v>
      </c>
      <c r="I34" s="1" t="s">
        <v>373</v>
      </c>
      <c r="J34" s="1" t="s">
        <v>58</v>
      </c>
      <c r="K34" s="1" t="b">
        <v>1</v>
      </c>
      <c r="L34" s="1" t="s">
        <v>372</v>
      </c>
      <c r="M34" s="1">
        <v>15.5</v>
      </c>
      <c r="N34" s="1">
        <v>33.1</v>
      </c>
      <c r="O34" s="1">
        <v>22.9</v>
      </c>
      <c r="P34" s="1">
        <v>11.6</v>
      </c>
      <c r="Q34" s="1">
        <v>9.6</v>
      </c>
      <c r="R34" s="1">
        <v>8.6</v>
      </c>
      <c r="S34" s="1">
        <v>39.9</v>
      </c>
      <c r="T34" s="1">
        <v>26.4</v>
      </c>
      <c r="U34" s="1">
        <v>20.0</v>
      </c>
      <c r="V34" s="1">
        <v>12.3</v>
      </c>
      <c r="W34" s="1">
        <v>7.1</v>
      </c>
      <c r="X34" s="1">
        <v>4.3</v>
      </c>
      <c r="Y34" s="1" t="s">
        <v>115</v>
      </c>
      <c r="Z34" s="1">
        <v>1.15</v>
      </c>
      <c r="AA34" s="1">
        <v>5.0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</row>
    <row r="35">
      <c r="A35" s="1" t="s">
        <v>374</v>
      </c>
      <c r="B35" s="1" t="s">
        <v>291</v>
      </c>
      <c r="C35" s="1" t="s">
        <v>292</v>
      </c>
      <c r="D35" s="1" t="s">
        <v>45</v>
      </c>
      <c r="E35" s="1">
        <v>0.0</v>
      </c>
      <c r="F35" s="1">
        <v>0.0</v>
      </c>
      <c r="G35" s="1">
        <v>2001.0</v>
      </c>
      <c r="H35" s="1">
        <v>0.0</v>
      </c>
      <c r="I35" s="1" t="s">
        <v>375</v>
      </c>
      <c r="J35" s="1" t="s">
        <v>376</v>
      </c>
      <c r="K35" s="1" t="b">
        <v>1</v>
      </c>
      <c r="L35" s="1" t="s">
        <v>374</v>
      </c>
      <c r="M35" s="1">
        <v>17.5</v>
      </c>
      <c r="N35" s="1">
        <v>37.7</v>
      </c>
      <c r="O35" s="1">
        <v>18.2</v>
      </c>
      <c r="P35" s="1">
        <v>25.2</v>
      </c>
      <c r="Q35" s="1">
        <v>14.2</v>
      </c>
      <c r="R35" s="1">
        <v>4.0</v>
      </c>
      <c r="S35" s="1">
        <v>38.8</v>
      </c>
      <c r="T35" s="1">
        <v>28.2</v>
      </c>
      <c r="U35" s="1">
        <v>10.2</v>
      </c>
      <c r="V35" s="1">
        <v>11.6</v>
      </c>
      <c r="W35" s="1">
        <v>5.3</v>
      </c>
      <c r="X35" s="1">
        <v>2.1</v>
      </c>
      <c r="Y35" s="1" t="s">
        <v>115</v>
      </c>
      <c r="Z35" s="1">
        <v>2.27</v>
      </c>
      <c r="AA35" s="1">
        <v>4.0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</row>
    <row r="36">
      <c r="A36" s="1" t="s">
        <v>377</v>
      </c>
      <c r="B36" s="1" t="s">
        <v>291</v>
      </c>
      <c r="C36" s="1" t="s">
        <v>292</v>
      </c>
      <c r="D36" s="1" t="s">
        <v>45</v>
      </c>
      <c r="E36" s="1">
        <v>0.0</v>
      </c>
      <c r="F36" s="1">
        <v>0.0</v>
      </c>
      <c r="G36" s="1">
        <v>1998.0</v>
      </c>
      <c r="H36" s="1">
        <v>0.0</v>
      </c>
      <c r="I36" s="1" t="s">
        <v>378</v>
      </c>
      <c r="J36" s="1" t="s">
        <v>376</v>
      </c>
      <c r="K36" s="1" t="b">
        <v>1</v>
      </c>
      <c r="L36" s="1" t="s">
        <v>377</v>
      </c>
      <c r="M36" s="1">
        <v>22.8</v>
      </c>
      <c r="N36" s="1">
        <v>30.7</v>
      </c>
      <c r="O36" s="1">
        <v>25.1</v>
      </c>
      <c r="P36" s="1">
        <v>21.4</v>
      </c>
      <c r="Q36" s="1">
        <v>11.3</v>
      </c>
      <c r="R36" s="1">
        <v>2.1</v>
      </c>
      <c r="S36" s="1">
        <v>31.9</v>
      </c>
      <c r="T36" s="1">
        <v>29.8</v>
      </c>
      <c r="U36" s="1">
        <v>17.1</v>
      </c>
      <c r="V36" s="1">
        <v>10.5</v>
      </c>
      <c r="W36" s="1">
        <v>3.3</v>
      </c>
      <c r="X36" s="1">
        <v>5.5</v>
      </c>
      <c r="Y36" s="1" t="s">
        <v>115</v>
      </c>
      <c r="Z36" s="1">
        <v>3.24</v>
      </c>
      <c r="AA36" s="1">
        <v>4.0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</row>
  </sheetData>
  <drawing r:id="rId1"/>
</worksheet>
</file>